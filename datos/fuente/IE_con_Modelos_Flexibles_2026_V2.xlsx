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b. Planeación\Documents\MODELOS FLEXIBLES\2026\GRUPOS\"/>
    </mc:Choice>
  </mc:AlternateContent>
  <bookViews>
    <workbookView xWindow="0" yWindow="0" windowWidth="28800" windowHeight="11720" activeTab="2"/>
  </bookViews>
  <sheets>
    <sheet name=" Y BRUJULA" sheetId="5" r:id="rId1"/>
    <sheet name="PENSAR" sheetId="6" r:id="rId2"/>
    <sheet name="CANTIDAD DE ESTUDIANTES" sheetId="7" r:id="rId3"/>
  </sheets>
  <definedNames>
    <definedName name="_xlnm._FilterDatabase" localSheetId="0" hidden="1">' Y BRUJULA'!$A$1:$F$206</definedName>
    <definedName name="_xlnm._FilterDatabase" localSheetId="1" hidden="1">PENSAR!$A$1:$G$270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7" l="1"/>
  <c r="E23" i="7"/>
  <c r="F23" i="7"/>
  <c r="G23" i="7"/>
  <c r="H23" i="7"/>
  <c r="I23" i="7"/>
  <c r="J23" i="7"/>
  <c r="K23" i="7"/>
  <c r="L23" i="7"/>
  <c r="M23" i="7"/>
  <c r="C23" i="7"/>
  <c r="B23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4" i="7"/>
  <c r="K11" i="7"/>
  <c r="K18" i="7"/>
  <c r="K19" i="7"/>
  <c r="K21" i="7"/>
  <c r="K22" i="7"/>
  <c r="I16" i="7"/>
  <c r="I17" i="7"/>
  <c r="I21" i="7"/>
  <c r="G8" i="7"/>
  <c r="G11" i="7"/>
  <c r="E17" i="7"/>
  <c r="E19" i="7"/>
  <c r="C6" i="7"/>
  <c r="C15" i="7"/>
  <c r="C17" i="7"/>
</calcChain>
</file>

<file path=xl/sharedStrings.xml><?xml version="1.0" encoding="utf-8"?>
<sst xmlns="http://schemas.openxmlformats.org/spreadsheetml/2006/main" count="1924" uniqueCount="184">
  <si>
    <t>INSTITUCION</t>
  </si>
  <si>
    <t>SEDE</t>
  </si>
  <si>
    <t>JORNADA</t>
  </si>
  <si>
    <t>GRADO_COD</t>
  </si>
  <si>
    <t>GRUPO</t>
  </si>
  <si>
    <t>Total</t>
  </si>
  <si>
    <t>CENTRO EDUCATIVO EL MANZANILLO</t>
  </si>
  <si>
    <t>ÚNICA</t>
  </si>
  <si>
    <t>MAÑANA</t>
  </si>
  <si>
    <t>COMPLETA</t>
  </si>
  <si>
    <t>COLEGIO BASICO SANTA MARIA DE LA CRUZ</t>
  </si>
  <si>
    <t>COLEGIO COMBOS COMUNIDADES EDUCATIVAS DE BASE</t>
  </si>
  <si>
    <t>COLEGIO COMBOS COMUNIDAD EDUCATIVA DE BASE</t>
  </si>
  <si>
    <t>COLEGIO LUIS AMIGO Y FERRER</t>
  </si>
  <si>
    <t>INSTITUCION EDUCATIVA  BARRIO OLAYA HERRERA</t>
  </si>
  <si>
    <t>INSTITUCION EDUCATIVA BARRIO OLAYA HERRERA</t>
  </si>
  <si>
    <t>TARDE</t>
  </si>
  <si>
    <t>INSTITUCION EDUCATIVA ALCALDIA DE MEDELLIN</t>
  </si>
  <si>
    <t>SECCION ESCUELA YERMO Y PARRES</t>
  </si>
  <si>
    <t>INSTITUCION EDUCATIVA ALFONSO LOPEZ</t>
  </si>
  <si>
    <t>SECCION ESCUELA CARDENAL CRISANTO LUQUE</t>
  </si>
  <si>
    <t>SECCION ESCUELA MUNICIPAL KENNEDY</t>
  </si>
  <si>
    <t>INSTITUCION EDUCATIVA ALFONSO LOPEZ PUMAREJO</t>
  </si>
  <si>
    <t>SECCION ESCUELA SANTIAGO SANTAMARIA</t>
  </si>
  <si>
    <t>INSTITUCION EDUCATIVA ALFONSO MORA NARANJO</t>
  </si>
  <si>
    <t>INSTITUCION EDUCATIVA ALFREDO COCK ARANGO</t>
  </si>
  <si>
    <t>INSTITUCION EDUCATIVA AMERICA</t>
  </si>
  <si>
    <t>INSTITUCION EDUCATIVA ANDREAS PETER HAURI</t>
  </si>
  <si>
    <t>INSTITUCION EDUCATIVA ANGELA RESTREPO MORENO</t>
  </si>
  <si>
    <t>SECCION ESCUELA LUIS GUILLERMO ECHEVERRY ABAD</t>
  </si>
  <si>
    <t>INSTITUCION EDUCATIVA ANTONIO DERKA - SANTO DOMINGO</t>
  </si>
  <si>
    <t>SECCION ESCUELA ANTONIO DERKA</t>
  </si>
  <si>
    <t>SECCION ESCUELA CARPINELO AMAPOLITA</t>
  </si>
  <si>
    <t>SECCION ESCUELA SANTO DOMINGO SAVIO</t>
  </si>
  <si>
    <t>INSTITUCION EDUCATIVA AURES</t>
  </si>
  <si>
    <t>SECCION ESCUELA AURES</t>
  </si>
  <si>
    <t>INSTITUCION EDUCATIVA BARRIO SANTANDER</t>
  </si>
  <si>
    <t>INSTITUCION EDUCATIVA BELLO ORIENTE</t>
  </si>
  <si>
    <t>SECCION ESCUELA BELLO ORIENTE</t>
  </si>
  <si>
    <t>INSTITUCION EDUCATIVA BENEDIKTA ZUR NIEDEN</t>
  </si>
  <si>
    <t>INSTITUCION EDUCATIVA BLANQUIZAL</t>
  </si>
  <si>
    <t>INSTITUCION EDUCATIVA BLANQUIZAL - SEDE PRINCIPAL</t>
  </si>
  <si>
    <t>INSTITUCION EDUCATIVA CAMILO MORA CARRASQUILLA</t>
  </si>
  <si>
    <t>INSTITUCION EDUCATIVA CAMPO VALDES</t>
  </si>
  <si>
    <t>INSTITUCION EDUCATIVA CAPILLA DEL ROSARIO</t>
  </si>
  <si>
    <t>INSTITUCION EDUCATIVA CIUDAD DON BOSCO</t>
  </si>
  <si>
    <t>INSTITUCION EDUCATIVA CIUDADELA NUEVO OCCIDENTE</t>
  </si>
  <si>
    <t>INSTITUCION EDUCATIVA DEBORA ARANGO PEREZ</t>
  </si>
  <si>
    <t>INSTITUCION EDUCATIVO DEBORA ARANGO PEREZ</t>
  </si>
  <si>
    <t>SECCION ESCUELA MANO DE DIOS</t>
  </si>
  <si>
    <t>INSTITUCION EDUCATIVA DIEGO ECHAVARRIA MISAS</t>
  </si>
  <si>
    <t>SECCION ESCUELA ESTADO DE ISRAEL</t>
  </si>
  <si>
    <t>INSTITUCION EDUCATIVA DINAMARCA</t>
  </si>
  <si>
    <t>SECCION ESCUELA RICARDO URIBE ESCOBAR</t>
  </si>
  <si>
    <t>INSTITUCION EDUCATIVA EDUARDO SANTOS</t>
  </si>
  <si>
    <t>INSTITUCION EDUCATIVA EL BOSQUE</t>
  </si>
  <si>
    <t>INSTITUCION EDUCATIVA EL CORAZON</t>
  </si>
  <si>
    <t>INSTITUCION EDUCATIVA EL CORAZÓN</t>
  </si>
  <si>
    <t>INSTITUCION EDUCATIVA EL DIAMANTE</t>
  </si>
  <si>
    <t>SECCION ESCUELA EL DIAMANTE</t>
  </si>
  <si>
    <t>INSTITUCION EDUCATIVA EL LIMONAR</t>
  </si>
  <si>
    <t>INSTITUCION EDUCATIVA EL PEDREGAL</t>
  </si>
  <si>
    <t>SECCION ESCUELA RAFAEL J. MEJIA</t>
  </si>
  <si>
    <t>INSTITUCION EDUCATIVA FE Y ALEGRIA GRANIZAL</t>
  </si>
  <si>
    <t>SECCION ESCUELA FE Y ALEGRIA GRANIZAL</t>
  </si>
  <si>
    <t>INSTITUCION EDUCATIVA FE Y ALEGRIA JOSE MARIA VELAZ</t>
  </si>
  <si>
    <t>INSTITUCION EDUCATIVA FE Y ALEGRIA LA CIMA</t>
  </si>
  <si>
    <t>SECCION ESCUELA FE Y ALEGRIA NO. 3</t>
  </si>
  <si>
    <t>SECCION ESCUELA LA CIMA SAN JOSE</t>
  </si>
  <si>
    <t>INSTITUCION EDUCATIVA FE Y ALEGRIA LUIS AMIGO</t>
  </si>
  <si>
    <t>INSTITUCION EDUCATIVA FE Y ALEGRIA POPULAR NO. 1</t>
  </si>
  <si>
    <t>SECCION ESCUELA FE Y ALEGRIA POPULAR NO. 2</t>
  </si>
  <si>
    <t>INSTITUCION EDUCATIVA FE Y ALEGRIA SANTO DOMINGO SAVIO</t>
  </si>
  <si>
    <t>INSTITUCION EDUCATIVA FEDERICO CARRASQUILLA</t>
  </si>
  <si>
    <t>SECCION ESCUELA DIVINA PROVIDENCIA</t>
  </si>
  <si>
    <t>INSTITUCION EDUCATIVA FELIX HENAO BOTERO</t>
  </si>
  <si>
    <t>INSTITUCION EDUCATIVA FINCA LA MESA</t>
  </si>
  <si>
    <t>SECCION ESCUELA LA FRANCIA</t>
  </si>
  <si>
    <t>INSTITUCION EDUCATIVA FRANCISCO LUIS HERNANDEZ BETANCUR</t>
  </si>
  <si>
    <t>INSTITUCION EDUCATIVA FRANCISCO MIRANDA</t>
  </si>
  <si>
    <t>INSTITUCION EDUCATIVA FUNDADORES</t>
  </si>
  <si>
    <t>SECCION ESCUELA EL SOCORRO</t>
  </si>
  <si>
    <t>INSTITUCION EDUCATIVA GABRIEL RESTREPO MORENO</t>
  </si>
  <si>
    <t>INSTITUCION EDUCATIVA GILBERTO ALZATE AVENDAÑO</t>
  </si>
  <si>
    <t>SECCION ESCUELA SAN ISIDRO</t>
  </si>
  <si>
    <t>INSTITUCION EDUCATIVA GUADALUPE</t>
  </si>
  <si>
    <t>SECCION ESCUELA GRACIELA JIMENEZ DE BUSTAMANTE</t>
  </si>
  <si>
    <t>INSTITUCION EDUCATIVA HECTOR ABAD GOMEZ</t>
  </si>
  <si>
    <t>SECCION ESCUELA DARIO LONDOÑO CARDONA</t>
  </si>
  <si>
    <t>INSTITUCION EDUCATIVA INEM JOSE FELIX DE RESTREPO</t>
  </si>
  <si>
    <t>INSTITUCION EDUCATIVA JESUS MARIA VALLE</t>
  </si>
  <si>
    <t>INSTITUCION EDUCATIVA JOAQUIN VALLEJO ARBELAEZ</t>
  </si>
  <si>
    <t>INSTITUCION EDUCATIVA JORGE ROBLEDO</t>
  </si>
  <si>
    <t>INSTITUCION EDUCATIVA JOSE ACEVEDO Y GOMEZ</t>
  </si>
  <si>
    <t>SECCION ESCUELA REPUBLICA DE COSTA RICA</t>
  </si>
  <si>
    <t>INSTITUCION EDUCATIVA JOSE ANTONIO GALAN</t>
  </si>
  <si>
    <t>INSTITUCION EDUCATIVA JOSE ASUNCION SILVA</t>
  </si>
  <si>
    <t>INSTITUCION EDUCATIVA JOSE HORACIO BETANCUR</t>
  </si>
  <si>
    <t>INSTITUCION EDUCATIVA JOSE MARIA BRAVO MARQUEZ</t>
  </si>
  <si>
    <t>SECCION ESCUELA PORFIRIO BARBA JACOB</t>
  </si>
  <si>
    <t>INSTITUCION EDUCATIVA JOSE MARIA ESPINOSA PRIETO - CASD</t>
  </si>
  <si>
    <t>INSTITUCION EDUCATIVA JOSE ROBERTO VASQUEZ BARRIO MANRIQUE</t>
  </si>
  <si>
    <t>INSTITUCION EDUCATIVA JUAN DE DIOS CARVAJAL</t>
  </si>
  <si>
    <t>SECCION ESCUELA FRANCISCO ANTONIO URIBE</t>
  </si>
  <si>
    <t>INSTITUCION EDUCATIVA JUAN MARIA CESPEDES</t>
  </si>
  <si>
    <t>SECCION ESCUELA LAS PLAYAS</t>
  </si>
  <si>
    <t>INSTITUCION EDUCATIVA KENNEDY</t>
  </si>
  <si>
    <t>SECCION CONCENTRACION EDUCATIVA KENNEDY</t>
  </si>
  <si>
    <t>INSTITUCION EDUCATIVA LA ESPERANZA</t>
  </si>
  <si>
    <t>SECCION ESCUELA LOS COMUNEROS</t>
  </si>
  <si>
    <t>SECCION ESCUELA SAN FRANCISCO DE PAULA</t>
  </si>
  <si>
    <t>SECCION ESCUELA SAN MARTIN DE PORRES</t>
  </si>
  <si>
    <t>INSTITUCION EDUCATIVA LA INDEPENDENCIA</t>
  </si>
  <si>
    <t>SECCION ESCUELA AMOR AL NIÑO</t>
  </si>
  <si>
    <t>INSTITUCION EDUCATIVA LA MILAGROSA</t>
  </si>
  <si>
    <t>SECCION ESCUELA SANTO TOMAS DE AQUINO</t>
  </si>
  <si>
    <t>INSTITUCION EDUCATIVA LA SIERRA</t>
  </si>
  <si>
    <t>SECCION ESCUELA VILLA TURBAY</t>
  </si>
  <si>
    <t>INSTITUCION EDUCATIVA LOMA HERMOSA</t>
  </si>
  <si>
    <t>SECCION ESCUELA SAN VICENTE FERRER</t>
  </si>
  <si>
    <t>INSTITUCION EDUCATIVA LORENZA VILLEGAS DE SANTOS</t>
  </si>
  <si>
    <t>INSTITUCION EDUCATIVA LUSITANIA- PAZ DE COLOMBIA</t>
  </si>
  <si>
    <t>SECCION ESCUELA EL TIROL</t>
  </si>
  <si>
    <t>INSTITUCION EDUCATIVA MANUELA BELTRAN</t>
  </si>
  <si>
    <t>SECCION ESCUELA SAN JOSE</t>
  </si>
  <si>
    <t>INSTITUCION EDUCATIVA MARCO FIDEL SUAREZ</t>
  </si>
  <si>
    <t>SECCION ESCUELA LA IGUANA</t>
  </si>
  <si>
    <t>INSTITUCION EDUCATIVA MARISCAL ROBLEDO</t>
  </si>
  <si>
    <t>SECCION ESCUELA CONRADO GONZALEZ MEJIA</t>
  </si>
  <si>
    <t>INSTITUCION EDUCATIVA MERCEDITAS GOMEZ MARTINEZ</t>
  </si>
  <si>
    <t>INSTITUCION EDUCATIVA MONSEÑOR FRANCISCO CRISTOBAL TORO</t>
  </si>
  <si>
    <t>SECCION ESCUELA EPIFANIO MEJIA</t>
  </si>
  <si>
    <t>INSTITUCION EDUCATIVA MONSEÑOR GERARDO VALENCIA CANO</t>
  </si>
  <si>
    <t>INSTITUCION EDUCATIVA MONSEÑOR VICTOR WIEDEMANN</t>
  </si>
  <si>
    <t>INSTITUCION EDUCATIVA MONTECARLO GUILLERMO GAVIRIA CORREA</t>
  </si>
  <si>
    <t>INSTITUCION EDUCATIVA NICANOR RESTREPO SANTAMARIA</t>
  </si>
  <si>
    <t>INSTITUCION EDUCATIVA OCTAVIO CALDERON MEJIA</t>
  </si>
  <si>
    <t>INSTITUCION EDUCATIVA PABLO NERUDA</t>
  </si>
  <si>
    <t>INSTITUCION EDUCATIVA PBRO ANTONIO JOSE BERNAL LONDOÑO SJ</t>
  </si>
  <si>
    <t>SECCION ESCUELA TOSCANA</t>
  </si>
  <si>
    <t>INSTITUCION EDUCATIVA PEDRO CLAVER AGUIRRE</t>
  </si>
  <si>
    <t>INSTITUCION EDUCATIVA PRESBITERO JUAN J. ESCOBAR</t>
  </si>
  <si>
    <t>SECCION ESCUELA JUAN NEPOMUCENO MORALES</t>
  </si>
  <si>
    <t>INSTITUCION EDUCATIVA PROGRESAR</t>
  </si>
  <si>
    <t>INSTITUCION EDUCATIVA PROGRESAR - SEDE PRINCIPAL</t>
  </si>
  <si>
    <t>INSTITUCION EDUCATIVA RAMON GIRALDO CEBALLOS</t>
  </si>
  <si>
    <t>INSTITUCION EDUCATIVA REPUBLICA DE BRASIL</t>
  </si>
  <si>
    <t>INSTITUCION EDUCATIVA REPUBLICA DE HONDURAS</t>
  </si>
  <si>
    <t>SECCION ESCUELA MUNICIPAL LA ROSA</t>
  </si>
  <si>
    <t>INSTITUCION EDUCATIVA REPUBLICA DE URUGUAY</t>
  </si>
  <si>
    <t>INSTITUCION EDUCATIVA REPUBLICA DE VENEZUELA</t>
  </si>
  <si>
    <t>INSTITUCION EDUCATIVA RODRIGO ARENAS BETANCUR</t>
  </si>
  <si>
    <t>INSTITUCION EDUCATIVA RODRIGO ARENAS BENTANCUR - SEDE PRINCIPAL</t>
  </si>
  <si>
    <t>INSTITUCION EDUCATIVA RODRIGO CORREA PALACIO</t>
  </si>
  <si>
    <t>INSTITUCION EDUCATIVA RODRIGO LARA BONILLA</t>
  </si>
  <si>
    <t>INSTITUCION EDUCATIVA SAN BENITO</t>
  </si>
  <si>
    <t>INSTITUCION EDUCATIVA SAN CRISTOBAL</t>
  </si>
  <si>
    <t>INSTITUCION EDUCATIVA SAN JOSE OBRERO</t>
  </si>
  <si>
    <t>INSTITUCION EDUCATIVA SAN JUAN BAUTISTA DE LA SALLE</t>
  </si>
  <si>
    <t>INSTITUCION EDUCATIVA SAN PABLO</t>
  </si>
  <si>
    <t>SECCION ESCUELA MEDELLIN</t>
  </si>
  <si>
    <t>INSTITUCION EDUCATIVA SAN VICENTE DE PAUL</t>
  </si>
  <si>
    <t>INSTITUCION EDUCATIVA SANTA ROSA DE LIMA</t>
  </si>
  <si>
    <t>SECCION ESCUELA REPUBLICA DE PANAMA</t>
  </si>
  <si>
    <t>INSTITUCION EDUCATIVA VALLEJUELOS</t>
  </si>
  <si>
    <t>INSTITUCION EDUCATIVA VIDA PARA TODOS</t>
  </si>
  <si>
    <t>SECCION ESCUELA HOGAR ANTIOQUIA</t>
  </si>
  <si>
    <t>INSTITUCION EDUCATIVA VILLA DE LA CANDELARIA</t>
  </si>
  <si>
    <t>INSTITUCION EDUCATIVA VILLA DEL SOCORRO</t>
  </si>
  <si>
    <t>SECCION ESCUELA FIDEL ANTONIO SALDARRIAGA</t>
  </si>
  <si>
    <t>SECCION ESCUELA VILLA NIZA</t>
  </si>
  <si>
    <t>Total general</t>
  </si>
  <si>
    <t>PENSAR 1</t>
  </si>
  <si>
    <t>PENSAR 3</t>
  </si>
  <si>
    <t>PENSAR 2</t>
  </si>
  <si>
    <t>BRUJULA</t>
  </si>
  <si>
    <t>COMUNA</t>
  </si>
  <si>
    <t>ACELERACIÓN</t>
  </si>
  <si>
    <t>AA./BRUJ</t>
  </si>
  <si>
    <t xml:space="preserve">BRUJULA </t>
  </si>
  <si>
    <t>TOTAL</t>
  </si>
  <si>
    <t>ESTUDIANTES POR MODELO Y POR COMUNA</t>
  </si>
  <si>
    <t>ESTUDIANTES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</si>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</sst>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2" borderId="2" xfId="0" applyFont="1" applyFill="1" applyBorder="1"/>
    <xf numFmtId="0" fontId="1" fillId="2" borderId="2" xfId="0" applyNumberFormat="1" applyFont="1" applyFill="1" applyBorder="1"/>
    <xf numFmtId="0" fontId="1" fillId="3" borderId="0" xfId="0" applyFont="1" applyFill="1"/>
    <xf numFmtId="0" fontId="1" fillId="0" borderId="0" xfId="0" applyFont="1" applyFill="1"/>
    <xf numFmtId="0" fontId="0" fillId="3" borderId="0" xfId="0" applyFill="1"/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06"/>
  <sheetViews>
    <sheetView topLeftCell="B177" zoomScale="90" zoomScaleNormal="90" workbookViewId="0">
      <selection activeCell="F200" sqref="F200:F205"/>
    </sheetView>
  </sheetViews>
  <sheetFormatPr baseColWidth="10" defaultRowHeight="14"/>
  <cols>
    <col min="1" max="1" width="63.90625" bestFit="1" customWidth="1"/>
    <col min="2" max="2" width="70.54296875" bestFit="1" customWidth="1"/>
    <col min="3" max="3" width="7.7265625" customWidth="1"/>
    <col min="4" max="4" width="8.81640625" bestFit="1" customWidth="1"/>
    <col min="5" max="5" width="12.1796875" customWidth="1"/>
    <col min="6" max="6" width="6.26953125" bestFit="1" customWidth="1"/>
  </cols>
  <sheetData>
    <row r="1" spans="1:6">
      <c r="A1" s="2" t="s">
        <v>0</v>
      </c>
      <c r="B1" s="2" t="s">
        <v>1</v>
      </c>
      <c r="C1" s="2" t="s">
        <v>176</v>
      </c>
      <c r="D1" s="2" t="s">
        <v>2</v>
      </c>
      <c r="E1" s="2" t="s">
        <v>4</v>
      </c>
      <c r="F1" s="2" t="s">
        <v>5</v>
      </c>
    </row>
    <row r="2" spans="1:6" hidden="1">
      <c r="A2" s="4" t="s">
        <v>30</v>
      </c>
      <c r="B2" s="3" t="s">
        <v>31</v>
      </c>
      <c r="C2" s="3">
        <v>1</v>
      </c>
      <c r="D2" t="s">
        <v>8</v>
      </c>
      <c r="E2" s="3" t="s">
        <v>175</v>
      </c>
      <c r="F2" s="1">
        <v>26</v>
      </c>
    </row>
    <row r="3" spans="1:6">
      <c r="A3" s="5" t="s">
        <v>30</v>
      </c>
      <c r="B3" s="3" t="s">
        <v>31</v>
      </c>
      <c r="C3" s="3">
        <v>1</v>
      </c>
      <c r="D3" t="s">
        <v>8</v>
      </c>
      <c r="E3" s="3" t="s">
        <v>177</v>
      </c>
      <c r="F3" s="1">
        <v>27</v>
      </c>
    </row>
    <row r="4" spans="1:6" hidden="1">
      <c r="A4" s="5" t="s">
        <v>30</v>
      </c>
      <c r="B4" s="3" t="s">
        <v>31</v>
      </c>
      <c r="C4" s="3">
        <v>1</v>
      </c>
      <c r="D4" t="s">
        <v>16</v>
      </c>
      <c r="E4" s="3" t="s">
        <v>175</v>
      </c>
      <c r="F4" s="1">
        <v>25</v>
      </c>
    </row>
    <row r="5" spans="1:6">
      <c r="A5" s="4" t="s">
        <v>30</v>
      </c>
      <c r="B5" s="3" t="s">
        <v>31</v>
      </c>
      <c r="C5" s="3">
        <v>1</v>
      </c>
      <c r="D5" t="s">
        <v>16</v>
      </c>
      <c r="E5" s="3" t="s">
        <v>177</v>
      </c>
      <c r="F5" s="1">
        <v>25</v>
      </c>
    </row>
    <row r="6" spans="1:6" hidden="1">
      <c r="A6" s="5" t="s">
        <v>30</v>
      </c>
      <c r="B6" s="3" t="s">
        <v>32</v>
      </c>
      <c r="C6" s="3">
        <v>1</v>
      </c>
      <c r="D6" t="s">
        <v>8</v>
      </c>
      <c r="E6" s="8" t="s">
        <v>175</v>
      </c>
      <c r="F6" s="1">
        <v>29</v>
      </c>
    </row>
    <row r="7" spans="1:6">
      <c r="A7" s="5" t="s">
        <v>30</v>
      </c>
      <c r="B7" s="3" t="s">
        <v>32</v>
      </c>
      <c r="C7" s="3">
        <v>1</v>
      </c>
      <c r="D7" t="s">
        <v>16</v>
      </c>
      <c r="E7" s="8" t="s">
        <v>177</v>
      </c>
      <c r="F7" s="1">
        <v>24</v>
      </c>
    </row>
    <row r="8" spans="1:6">
      <c r="A8" s="4" t="s">
        <v>63</v>
      </c>
      <c r="B8" s="3" t="s">
        <v>64</v>
      </c>
      <c r="C8" s="3">
        <v>1</v>
      </c>
      <c r="D8" t="s">
        <v>7</v>
      </c>
      <c r="E8" s="8" t="s">
        <v>177</v>
      </c>
      <c r="F8" s="1">
        <v>15</v>
      </c>
    </row>
    <row r="9" spans="1:6" hidden="1">
      <c r="A9" s="5" t="s">
        <v>70</v>
      </c>
      <c r="B9" s="3" t="s">
        <v>71</v>
      </c>
      <c r="C9" s="3">
        <v>1</v>
      </c>
      <c r="D9" t="s">
        <v>8</v>
      </c>
      <c r="E9" s="3" t="s">
        <v>175</v>
      </c>
      <c r="F9" s="1">
        <v>24</v>
      </c>
    </row>
    <row r="10" spans="1:6">
      <c r="A10" s="4" t="s">
        <v>70</v>
      </c>
      <c r="B10" s="3" t="s">
        <v>71</v>
      </c>
      <c r="C10" s="3">
        <v>1</v>
      </c>
      <c r="D10" t="s">
        <v>8</v>
      </c>
      <c r="E10" s="3" t="s">
        <v>177</v>
      </c>
      <c r="F10" s="1">
        <v>28</v>
      </c>
    </row>
    <row r="11" spans="1:6" hidden="1">
      <c r="A11" s="5" t="s">
        <v>72</v>
      </c>
      <c r="B11" s="3" t="s">
        <v>72</v>
      </c>
      <c r="C11" s="3">
        <v>1</v>
      </c>
      <c r="D11" t="s">
        <v>8</v>
      </c>
      <c r="E11" s="3" t="s">
        <v>175</v>
      </c>
      <c r="F11" s="1">
        <v>28</v>
      </c>
    </row>
    <row r="12" spans="1:6">
      <c r="A12" s="4" t="s">
        <v>72</v>
      </c>
      <c r="B12" s="3" t="s">
        <v>72</v>
      </c>
      <c r="C12" s="3">
        <v>1</v>
      </c>
      <c r="D12" t="s">
        <v>16</v>
      </c>
      <c r="E12" s="3" t="s">
        <v>177</v>
      </c>
      <c r="F12" s="1">
        <v>34</v>
      </c>
    </row>
    <row r="13" spans="1:6" hidden="1">
      <c r="A13" s="5" t="s">
        <v>73</v>
      </c>
      <c r="B13" s="3" t="s">
        <v>74</v>
      </c>
      <c r="C13" s="3">
        <v>1</v>
      </c>
      <c r="D13" t="s">
        <v>8</v>
      </c>
      <c r="E13" s="3" t="s">
        <v>175</v>
      </c>
      <c r="F13" s="1">
        <v>24</v>
      </c>
    </row>
    <row r="14" spans="1:6">
      <c r="A14" s="4" t="s">
        <v>73</v>
      </c>
      <c r="B14" s="3" t="s">
        <v>74</v>
      </c>
      <c r="C14" s="3">
        <v>1</v>
      </c>
      <c r="D14" t="s">
        <v>16</v>
      </c>
      <c r="E14" s="3" t="s">
        <v>177</v>
      </c>
      <c r="F14" s="1">
        <v>27</v>
      </c>
    </row>
    <row r="15" spans="1:6" hidden="1">
      <c r="A15" s="5" t="s">
        <v>85</v>
      </c>
      <c r="B15" s="3" t="s">
        <v>86</v>
      </c>
      <c r="C15" s="3">
        <v>1</v>
      </c>
      <c r="D15" t="s">
        <v>8</v>
      </c>
      <c r="E15" s="9" t="s">
        <v>175</v>
      </c>
      <c r="F15" s="1">
        <v>27</v>
      </c>
    </row>
    <row r="16" spans="1:6">
      <c r="A16" s="4" t="s">
        <v>85</v>
      </c>
      <c r="B16" s="3" t="s">
        <v>86</v>
      </c>
      <c r="C16" s="3">
        <v>1</v>
      </c>
      <c r="D16" t="s">
        <v>8</v>
      </c>
      <c r="E16" s="9" t="s">
        <v>177</v>
      </c>
      <c r="F16" s="1">
        <v>18</v>
      </c>
    </row>
    <row r="17" spans="1:6" hidden="1">
      <c r="A17" s="5" t="s">
        <v>159</v>
      </c>
      <c r="B17" s="3" t="s">
        <v>160</v>
      </c>
      <c r="C17" s="3">
        <v>1</v>
      </c>
      <c r="D17" t="s">
        <v>8</v>
      </c>
      <c r="E17" s="8" t="s">
        <v>175</v>
      </c>
      <c r="F17" s="1">
        <v>17</v>
      </c>
    </row>
    <row r="18" spans="1:6">
      <c r="A18" s="4" t="s">
        <v>159</v>
      </c>
      <c r="B18" s="3" t="s">
        <v>160</v>
      </c>
      <c r="C18" s="3">
        <v>1</v>
      </c>
      <c r="D18" t="s">
        <v>8</v>
      </c>
      <c r="E18" s="8" t="s">
        <v>177</v>
      </c>
      <c r="F18" s="1">
        <v>28</v>
      </c>
    </row>
    <row r="19" spans="1:6" hidden="1">
      <c r="A19" s="5" t="s">
        <v>159</v>
      </c>
      <c r="B19" s="3" t="s">
        <v>160</v>
      </c>
      <c r="C19" s="3">
        <v>1</v>
      </c>
      <c r="D19" t="s">
        <v>16</v>
      </c>
      <c r="E19" s="8" t="s">
        <v>175</v>
      </c>
      <c r="F19" s="1">
        <v>20</v>
      </c>
    </row>
    <row r="20" spans="1:6">
      <c r="A20" s="4" t="s">
        <v>159</v>
      </c>
      <c r="B20" s="3" t="s">
        <v>160</v>
      </c>
      <c r="C20" s="3">
        <v>1</v>
      </c>
      <c r="D20" t="s">
        <v>16</v>
      </c>
      <c r="E20" s="8" t="s">
        <v>177</v>
      </c>
      <c r="F20" s="1">
        <v>27</v>
      </c>
    </row>
    <row r="21" spans="1:6">
      <c r="A21" s="5" t="s">
        <v>65</v>
      </c>
      <c r="B21" s="3" t="s">
        <v>65</v>
      </c>
      <c r="C21" s="9">
        <v>2</v>
      </c>
      <c r="D21" t="s">
        <v>16</v>
      </c>
      <c r="E21" s="3" t="s">
        <v>177</v>
      </c>
      <c r="F21" s="1">
        <v>26</v>
      </c>
    </row>
    <row r="22" spans="1:6" hidden="1">
      <c r="A22" s="5" t="s">
        <v>76</v>
      </c>
      <c r="B22" s="3" t="s">
        <v>76</v>
      </c>
      <c r="C22" s="3">
        <v>2</v>
      </c>
      <c r="D22" t="s">
        <v>8</v>
      </c>
      <c r="E22" s="3" t="s">
        <v>175</v>
      </c>
      <c r="F22" s="1">
        <v>25</v>
      </c>
    </row>
    <row r="23" spans="1:6">
      <c r="A23" s="5" t="s">
        <v>76</v>
      </c>
      <c r="B23" s="3" t="s">
        <v>76</v>
      </c>
      <c r="C23" s="3">
        <v>2</v>
      </c>
      <c r="D23" t="s">
        <v>16</v>
      </c>
      <c r="E23" s="3" t="s">
        <v>177</v>
      </c>
      <c r="F23" s="1">
        <v>26</v>
      </c>
    </row>
    <row r="24" spans="1:6" hidden="1">
      <c r="A24" s="5" t="s">
        <v>76</v>
      </c>
      <c r="B24" s="3" t="s">
        <v>77</v>
      </c>
      <c r="C24" s="3">
        <v>2</v>
      </c>
      <c r="D24" t="s">
        <v>16</v>
      </c>
      <c r="E24" s="3" t="s">
        <v>175</v>
      </c>
      <c r="F24" s="1">
        <v>22</v>
      </c>
    </row>
    <row r="25" spans="1:6">
      <c r="A25" s="5" t="s">
        <v>76</v>
      </c>
      <c r="B25" s="3" t="s">
        <v>77</v>
      </c>
      <c r="C25" s="3">
        <v>2</v>
      </c>
      <c r="D25" t="s">
        <v>16</v>
      </c>
      <c r="E25" s="3" t="s">
        <v>177</v>
      </c>
      <c r="F25" s="1">
        <v>22</v>
      </c>
    </row>
    <row r="26" spans="1:6">
      <c r="A26" s="4" t="s">
        <v>76</v>
      </c>
      <c r="B26" s="3" t="s">
        <v>77</v>
      </c>
      <c r="C26" s="3">
        <v>2</v>
      </c>
      <c r="D26" t="s">
        <v>16</v>
      </c>
      <c r="E26" s="3" t="s">
        <v>177</v>
      </c>
      <c r="F26" s="1">
        <v>25</v>
      </c>
    </row>
    <row r="27" spans="1:6">
      <c r="A27" s="5" t="s">
        <v>137</v>
      </c>
      <c r="B27" s="3" t="s">
        <v>137</v>
      </c>
      <c r="C27" s="3">
        <v>2</v>
      </c>
      <c r="D27" t="s">
        <v>16</v>
      </c>
      <c r="E27" s="9" t="s">
        <v>177</v>
      </c>
      <c r="F27" s="1">
        <v>22</v>
      </c>
    </row>
    <row r="28" spans="1:6">
      <c r="A28" s="5" t="s">
        <v>147</v>
      </c>
      <c r="B28" s="3" t="s">
        <v>147</v>
      </c>
      <c r="C28" s="3">
        <v>2</v>
      </c>
      <c r="D28" t="s">
        <v>16</v>
      </c>
      <c r="E28" s="9" t="s">
        <v>177</v>
      </c>
      <c r="F28" s="1">
        <v>24</v>
      </c>
    </row>
    <row r="29" spans="1:6" hidden="1">
      <c r="A29" s="4" t="s">
        <v>147</v>
      </c>
      <c r="B29" s="3" t="s">
        <v>148</v>
      </c>
      <c r="C29" s="3">
        <v>2</v>
      </c>
      <c r="D29" t="s">
        <v>16</v>
      </c>
      <c r="E29" s="9" t="s">
        <v>175</v>
      </c>
      <c r="F29" s="1">
        <v>22</v>
      </c>
    </row>
    <row r="30" spans="1:6">
      <c r="A30" s="5" t="s">
        <v>147</v>
      </c>
      <c r="B30" s="3" t="s">
        <v>148</v>
      </c>
      <c r="C30" s="3">
        <v>2</v>
      </c>
      <c r="D30" t="s">
        <v>16</v>
      </c>
      <c r="E30" s="9" t="s">
        <v>177</v>
      </c>
      <c r="F30" s="1">
        <v>28</v>
      </c>
    </row>
    <row r="31" spans="1:6" hidden="1">
      <c r="A31" s="4" t="s">
        <v>168</v>
      </c>
      <c r="B31" s="3" t="s">
        <v>169</v>
      </c>
      <c r="C31" s="3">
        <v>2</v>
      </c>
      <c r="D31" t="s">
        <v>8</v>
      </c>
      <c r="E31" s="10" t="s">
        <v>179</v>
      </c>
      <c r="F31" s="1">
        <v>29</v>
      </c>
    </row>
    <row r="32" spans="1:6">
      <c r="A32" s="5" t="s">
        <v>168</v>
      </c>
      <c r="B32" s="3" t="s">
        <v>169</v>
      </c>
      <c r="C32" s="3">
        <v>2</v>
      </c>
      <c r="D32" t="s">
        <v>16</v>
      </c>
      <c r="E32" s="10" t="s">
        <v>177</v>
      </c>
      <c r="F32" s="1">
        <v>18</v>
      </c>
    </row>
    <row r="33" spans="1:6" hidden="1">
      <c r="A33" s="5" t="s">
        <v>168</v>
      </c>
      <c r="B33" s="3" t="s">
        <v>169</v>
      </c>
      <c r="C33" s="3">
        <v>2</v>
      </c>
      <c r="D33" t="s">
        <v>16</v>
      </c>
      <c r="E33" s="10" t="s">
        <v>179</v>
      </c>
      <c r="F33" s="1">
        <v>17</v>
      </c>
    </row>
    <row r="34" spans="1:6">
      <c r="A34" s="4" t="s">
        <v>168</v>
      </c>
      <c r="B34" s="3" t="s">
        <v>169</v>
      </c>
      <c r="C34" s="3">
        <v>2</v>
      </c>
      <c r="D34" t="s">
        <v>16</v>
      </c>
      <c r="E34" s="10" t="s">
        <v>177</v>
      </c>
      <c r="F34" s="1">
        <v>29</v>
      </c>
    </row>
    <row r="35" spans="1:6" hidden="1">
      <c r="A35" s="5" t="s">
        <v>168</v>
      </c>
      <c r="B35" s="3" t="s">
        <v>170</v>
      </c>
      <c r="C35" s="3">
        <v>2</v>
      </c>
      <c r="D35" t="s">
        <v>8</v>
      </c>
      <c r="E35" s="10" t="s">
        <v>179</v>
      </c>
      <c r="F35" s="1">
        <v>19</v>
      </c>
    </row>
    <row r="36" spans="1:6">
      <c r="A36" s="4" t="s">
        <v>168</v>
      </c>
      <c r="B36" s="3" t="s">
        <v>170</v>
      </c>
      <c r="C36" s="3">
        <v>2</v>
      </c>
      <c r="D36" t="s">
        <v>16</v>
      </c>
      <c r="E36" s="10" t="s">
        <v>177</v>
      </c>
      <c r="F36" s="1">
        <v>24</v>
      </c>
    </row>
    <row r="37" spans="1:6" hidden="1">
      <c r="A37" s="5" t="s">
        <v>10</v>
      </c>
      <c r="B37" s="3" t="s">
        <v>10</v>
      </c>
      <c r="C37" s="3">
        <v>3</v>
      </c>
      <c r="D37" t="s">
        <v>9</v>
      </c>
      <c r="E37" t="s">
        <v>175</v>
      </c>
      <c r="F37" s="1">
        <v>24</v>
      </c>
    </row>
    <row r="38" spans="1:6">
      <c r="A38" s="4" t="s">
        <v>10</v>
      </c>
      <c r="B38" s="3" t="s">
        <v>10</v>
      </c>
      <c r="C38" s="3">
        <v>3</v>
      </c>
      <c r="D38" t="s">
        <v>9</v>
      </c>
      <c r="E38" t="s">
        <v>177</v>
      </c>
      <c r="F38" s="1">
        <v>19</v>
      </c>
    </row>
    <row r="39" spans="1:6">
      <c r="A39" s="5" t="s">
        <v>10</v>
      </c>
      <c r="B39" s="3" t="s">
        <v>10</v>
      </c>
      <c r="C39" s="3">
        <v>3</v>
      </c>
      <c r="D39" t="s">
        <v>9</v>
      </c>
      <c r="E39" t="s">
        <v>177</v>
      </c>
      <c r="F39" s="1">
        <v>18</v>
      </c>
    </row>
    <row r="40" spans="1:6" hidden="1">
      <c r="A40" s="4" t="s">
        <v>37</v>
      </c>
      <c r="B40" s="3" t="s">
        <v>37</v>
      </c>
      <c r="C40" s="3">
        <v>3</v>
      </c>
      <c r="D40" t="s">
        <v>16</v>
      </c>
      <c r="E40" s="3" t="s">
        <v>175</v>
      </c>
      <c r="F40" s="1">
        <v>17</v>
      </c>
    </row>
    <row r="41" spans="1:6">
      <c r="A41" s="5" t="s">
        <v>37</v>
      </c>
      <c r="B41" s="3" t="s">
        <v>38</v>
      </c>
      <c r="C41" s="3">
        <v>3</v>
      </c>
      <c r="D41" t="s">
        <v>16</v>
      </c>
      <c r="E41" s="3" t="s">
        <v>177</v>
      </c>
      <c r="F41" s="1">
        <v>26</v>
      </c>
    </row>
    <row r="42" spans="1:6">
      <c r="A42" s="5" t="s">
        <v>37</v>
      </c>
      <c r="B42" s="3" t="s">
        <v>38</v>
      </c>
      <c r="C42" s="3">
        <v>3</v>
      </c>
      <c r="D42" t="s">
        <v>16</v>
      </c>
      <c r="E42" s="3" t="s">
        <v>177</v>
      </c>
      <c r="F42" s="1">
        <v>14</v>
      </c>
    </row>
    <row r="43" spans="1:6" hidden="1">
      <c r="A43" s="5" t="s">
        <v>66</v>
      </c>
      <c r="B43" s="3" t="s">
        <v>67</v>
      </c>
      <c r="C43" s="3">
        <v>3</v>
      </c>
      <c r="D43" t="s">
        <v>8</v>
      </c>
      <c r="E43" s="3" t="s">
        <v>175</v>
      </c>
      <c r="F43" s="1">
        <v>28</v>
      </c>
    </row>
    <row r="44" spans="1:6">
      <c r="A44" s="4" t="s">
        <v>66</v>
      </c>
      <c r="B44" s="3" t="s">
        <v>68</v>
      </c>
      <c r="C44" s="3">
        <v>3</v>
      </c>
      <c r="D44" t="s">
        <v>8</v>
      </c>
      <c r="E44" s="3" t="s">
        <v>177</v>
      </c>
      <c r="F44" s="1">
        <v>24</v>
      </c>
    </row>
    <row r="45" spans="1:6">
      <c r="A45" s="5" t="s">
        <v>82</v>
      </c>
      <c r="B45" s="3" t="s">
        <v>82</v>
      </c>
      <c r="C45" s="3">
        <v>3</v>
      </c>
      <c r="D45" t="s">
        <v>8</v>
      </c>
      <c r="E45" s="8" t="s">
        <v>177</v>
      </c>
      <c r="F45" s="1">
        <v>25</v>
      </c>
    </row>
    <row r="46" spans="1:6" hidden="1">
      <c r="A46" s="4" t="s">
        <v>95</v>
      </c>
      <c r="B46" s="3" t="s">
        <v>95</v>
      </c>
      <c r="C46" s="3">
        <v>3</v>
      </c>
      <c r="D46" t="s">
        <v>7</v>
      </c>
      <c r="E46" s="9" t="s">
        <v>175</v>
      </c>
      <c r="F46" s="1">
        <v>23</v>
      </c>
    </row>
    <row r="47" spans="1:6">
      <c r="A47" s="5" t="s">
        <v>95</v>
      </c>
      <c r="B47" s="3" t="s">
        <v>95</v>
      </c>
      <c r="C47" s="3">
        <v>3</v>
      </c>
      <c r="D47" t="s">
        <v>7</v>
      </c>
      <c r="E47" s="9" t="s">
        <v>177</v>
      </c>
      <c r="F47" s="1">
        <v>21</v>
      </c>
    </row>
    <row r="48" spans="1:6">
      <c r="A48" s="4" t="s">
        <v>123</v>
      </c>
      <c r="B48" s="3" t="s">
        <v>123</v>
      </c>
      <c r="C48" s="3">
        <v>3</v>
      </c>
      <c r="D48" t="s">
        <v>8</v>
      </c>
      <c r="E48" s="8" t="s">
        <v>177</v>
      </c>
      <c r="F48" s="1">
        <v>29</v>
      </c>
    </row>
    <row r="49" spans="1:6" hidden="1">
      <c r="A49" s="5" t="s">
        <v>123</v>
      </c>
      <c r="B49" s="3" t="s">
        <v>124</v>
      </c>
      <c r="C49" s="3">
        <v>3</v>
      </c>
      <c r="D49" t="s">
        <v>8</v>
      </c>
      <c r="E49" s="8" t="s">
        <v>175</v>
      </c>
      <c r="F49" s="1">
        <v>25</v>
      </c>
    </row>
    <row r="50" spans="1:6">
      <c r="A50" s="5" t="s">
        <v>123</v>
      </c>
      <c r="B50" s="3" t="s">
        <v>124</v>
      </c>
      <c r="C50" s="3">
        <v>3</v>
      </c>
      <c r="D50" t="s">
        <v>16</v>
      </c>
      <c r="E50" s="8" t="s">
        <v>177</v>
      </c>
      <c r="F50" s="1">
        <v>29</v>
      </c>
    </row>
    <row r="51" spans="1:6">
      <c r="A51" s="5" t="s">
        <v>134</v>
      </c>
      <c r="B51" s="3" t="s">
        <v>134</v>
      </c>
      <c r="C51" s="3">
        <v>3</v>
      </c>
      <c r="D51" t="s">
        <v>8</v>
      </c>
      <c r="E51" s="9" t="s">
        <v>177</v>
      </c>
      <c r="F51" s="1">
        <v>24</v>
      </c>
    </row>
    <row r="52" spans="1:6" hidden="1">
      <c r="A52" s="4" t="s">
        <v>134</v>
      </c>
      <c r="B52" s="3" t="s">
        <v>134</v>
      </c>
      <c r="C52" s="3">
        <v>3</v>
      </c>
      <c r="D52" t="s">
        <v>16</v>
      </c>
      <c r="E52" s="9" t="s">
        <v>175</v>
      </c>
      <c r="F52" s="1">
        <v>28</v>
      </c>
    </row>
    <row r="53" spans="1:6" hidden="1">
      <c r="A53" s="5" t="s">
        <v>146</v>
      </c>
      <c r="B53" s="3" t="s">
        <v>146</v>
      </c>
      <c r="C53" s="3">
        <v>3</v>
      </c>
      <c r="D53" t="s">
        <v>16</v>
      </c>
      <c r="E53" s="9" t="s">
        <v>175</v>
      </c>
      <c r="F53" s="1">
        <v>37</v>
      </c>
    </row>
    <row r="54" spans="1:6">
      <c r="A54" s="4" t="s">
        <v>146</v>
      </c>
      <c r="B54" s="3" t="s">
        <v>146</v>
      </c>
      <c r="C54" s="3">
        <v>3</v>
      </c>
      <c r="D54" t="s">
        <v>16</v>
      </c>
      <c r="E54" s="9" t="s">
        <v>177</v>
      </c>
      <c r="F54" s="1">
        <v>30</v>
      </c>
    </row>
    <row r="55" spans="1:6" hidden="1">
      <c r="A55" s="4" t="s">
        <v>154</v>
      </c>
      <c r="B55" s="3" t="s">
        <v>154</v>
      </c>
      <c r="C55" s="3">
        <v>3</v>
      </c>
      <c r="D55" t="s">
        <v>8</v>
      </c>
      <c r="E55" s="9" t="s">
        <v>175</v>
      </c>
      <c r="F55" s="1">
        <v>25</v>
      </c>
    </row>
    <row r="56" spans="1:6">
      <c r="A56" s="5" t="s">
        <v>154</v>
      </c>
      <c r="B56" s="3" t="s">
        <v>154</v>
      </c>
      <c r="C56" s="3">
        <v>3</v>
      </c>
      <c r="D56" t="s">
        <v>16</v>
      </c>
      <c r="E56" s="9" t="s">
        <v>177</v>
      </c>
      <c r="F56" s="1">
        <v>24</v>
      </c>
    </row>
    <row r="57" spans="1:6" hidden="1">
      <c r="A57" s="4" t="s">
        <v>158</v>
      </c>
      <c r="B57" s="3" t="s">
        <v>158</v>
      </c>
      <c r="C57" s="3">
        <v>3</v>
      </c>
      <c r="D57" t="s">
        <v>16</v>
      </c>
      <c r="E57" s="9" t="s">
        <v>175</v>
      </c>
      <c r="F57" s="1">
        <v>18</v>
      </c>
    </row>
    <row r="58" spans="1:6">
      <c r="A58" s="5" t="s">
        <v>158</v>
      </c>
      <c r="B58" s="3" t="s">
        <v>158</v>
      </c>
      <c r="C58" s="3">
        <v>3</v>
      </c>
      <c r="D58" t="s">
        <v>16</v>
      </c>
      <c r="E58" s="8" t="s">
        <v>177</v>
      </c>
      <c r="F58" s="1">
        <v>15</v>
      </c>
    </row>
    <row r="59" spans="1:6" hidden="1">
      <c r="A59" s="4" t="s">
        <v>43</v>
      </c>
      <c r="B59" s="3" t="s">
        <v>43</v>
      </c>
      <c r="C59" s="3">
        <v>4</v>
      </c>
      <c r="D59" t="s">
        <v>8</v>
      </c>
      <c r="E59" s="3" t="s">
        <v>175</v>
      </c>
      <c r="F59" s="1">
        <v>24</v>
      </c>
    </row>
    <row r="60" spans="1:6">
      <c r="A60" s="4" t="s">
        <v>43</v>
      </c>
      <c r="B60" s="3" t="s">
        <v>43</v>
      </c>
      <c r="C60" s="3">
        <v>4</v>
      </c>
      <c r="D60" t="s">
        <v>16</v>
      </c>
      <c r="E60" s="3" t="s">
        <v>177</v>
      </c>
      <c r="F60" s="1">
        <v>24</v>
      </c>
    </row>
    <row r="61" spans="1:6" hidden="1">
      <c r="A61" s="4" t="s">
        <v>55</v>
      </c>
      <c r="B61" s="3" t="s">
        <v>55</v>
      </c>
      <c r="C61" s="3">
        <v>4</v>
      </c>
      <c r="D61" t="s">
        <v>8</v>
      </c>
      <c r="E61" s="3" t="s">
        <v>175</v>
      </c>
      <c r="F61" s="1">
        <v>26</v>
      </c>
    </row>
    <row r="62" spans="1:6">
      <c r="A62" s="5" t="s">
        <v>55</v>
      </c>
      <c r="B62" s="3" t="s">
        <v>55</v>
      </c>
      <c r="C62" s="3">
        <v>4</v>
      </c>
      <c r="D62" t="s">
        <v>8</v>
      </c>
      <c r="E62" s="3" t="s">
        <v>177</v>
      </c>
      <c r="F62" s="1">
        <v>21</v>
      </c>
    </row>
    <row r="63" spans="1:6" hidden="1">
      <c r="A63" s="4" t="s">
        <v>69</v>
      </c>
      <c r="B63" s="3" t="s">
        <v>69</v>
      </c>
      <c r="C63" s="3">
        <v>4</v>
      </c>
      <c r="D63" t="s">
        <v>16</v>
      </c>
      <c r="E63" s="3" t="s">
        <v>175</v>
      </c>
      <c r="F63" s="1">
        <v>29</v>
      </c>
    </row>
    <row r="64" spans="1:6">
      <c r="A64" s="4" t="s">
        <v>69</v>
      </c>
      <c r="B64" s="3" t="s">
        <v>69</v>
      </c>
      <c r="C64" s="3">
        <v>4</v>
      </c>
      <c r="D64" t="s">
        <v>16</v>
      </c>
      <c r="E64" s="3" t="s">
        <v>177</v>
      </c>
      <c r="F64" s="1">
        <v>31</v>
      </c>
    </row>
    <row r="65" spans="1:6">
      <c r="A65" s="4" t="s">
        <v>69</v>
      </c>
      <c r="B65" s="3" t="s">
        <v>69</v>
      </c>
      <c r="C65" s="3">
        <v>4</v>
      </c>
      <c r="D65" t="s">
        <v>16</v>
      </c>
      <c r="E65" s="3" t="s">
        <v>177</v>
      </c>
      <c r="F65" s="1">
        <v>32</v>
      </c>
    </row>
    <row r="66" spans="1:6">
      <c r="A66" s="4" t="s">
        <v>78</v>
      </c>
      <c r="B66" s="3" t="s">
        <v>78</v>
      </c>
      <c r="C66" s="3">
        <v>4</v>
      </c>
      <c r="D66" t="s">
        <v>16</v>
      </c>
      <c r="E66" s="3" t="s">
        <v>177</v>
      </c>
      <c r="F66" s="1">
        <v>15</v>
      </c>
    </row>
    <row r="67" spans="1:6" hidden="1">
      <c r="A67" s="5" t="s">
        <v>79</v>
      </c>
      <c r="B67" s="3" t="s">
        <v>79</v>
      </c>
      <c r="C67" s="3">
        <v>4</v>
      </c>
      <c r="D67" t="s">
        <v>16</v>
      </c>
      <c r="E67" s="8" t="s">
        <v>175</v>
      </c>
      <c r="F67" s="1">
        <v>17</v>
      </c>
    </row>
    <row r="68" spans="1:6">
      <c r="A68" s="4" t="s">
        <v>79</v>
      </c>
      <c r="B68" s="3" t="s">
        <v>79</v>
      </c>
      <c r="C68" s="3">
        <v>4</v>
      </c>
      <c r="D68" t="s">
        <v>16</v>
      </c>
      <c r="E68" s="8" t="s">
        <v>177</v>
      </c>
      <c r="F68" s="1">
        <v>21</v>
      </c>
    </row>
    <row r="69" spans="1:6" hidden="1">
      <c r="A69" s="5" t="s">
        <v>79</v>
      </c>
      <c r="B69" s="3" t="s">
        <v>79</v>
      </c>
      <c r="C69" s="3">
        <v>4</v>
      </c>
      <c r="D69" t="s">
        <v>16</v>
      </c>
      <c r="E69" s="8" t="s">
        <v>175</v>
      </c>
      <c r="F69" s="1">
        <v>16</v>
      </c>
    </row>
    <row r="70" spans="1:6">
      <c r="A70" s="5" t="s">
        <v>79</v>
      </c>
      <c r="B70" s="3" t="s">
        <v>79</v>
      </c>
      <c r="C70" s="3">
        <v>4</v>
      </c>
      <c r="D70" t="s">
        <v>16</v>
      </c>
      <c r="E70" s="8" t="s">
        <v>177</v>
      </c>
      <c r="F70" s="1">
        <v>16</v>
      </c>
    </row>
    <row r="71" spans="1:6" hidden="1">
      <c r="A71" s="4" t="s">
        <v>83</v>
      </c>
      <c r="B71" s="3" t="s">
        <v>84</v>
      </c>
      <c r="C71" s="3">
        <v>4</v>
      </c>
      <c r="D71" t="s">
        <v>16</v>
      </c>
      <c r="E71" s="9" t="s">
        <v>175</v>
      </c>
      <c r="F71" s="1">
        <v>24</v>
      </c>
    </row>
    <row r="72" spans="1:6">
      <c r="A72" s="5" t="s">
        <v>83</v>
      </c>
      <c r="B72" s="3" t="s">
        <v>84</v>
      </c>
      <c r="C72" s="3">
        <v>4</v>
      </c>
      <c r="D72" t="s">
        <v>16</v>
      </c>
      <c r="E72" s="9" t="s">
        <v>177</v>
      </c>
      <c r="F72" s="1">
        <v>22</v>
      </c>
    </row>
    <row r="73" spans="1:6" hidden="1">
      <c r="A73" s="4" t="s">
        <v>98</v>
      </c>
      <c r="B73" s="3" t="s">
        <v>99</v>
      </c>
      <c r="C73" s="3">
        <v>4</v>
      </c>
      <c r="D73" t="s">
        <v>7</v>
      </c>
      <c r="E73" s="9" t="s">
        <v>175</v>
      </c>
      <c r="F73" s="1">
        <v>30</v>
      </c>
    </row>
    <row r="74" spans="1:6">
      <c r="A74" s="5" t="s">
        <v>98</v>
      </c>
      <c r="B74" s="3" t="s">
        <v>99</v>
      </c>
      <c r="C74" s="3">
        <v>4</v>
      </c>
      <c r="D74" t="s">
        <v>7</v>
      </c>
      <c r="E74" s="9" t="s">
        <v>177</v>
      </c>
      <c r="F74" s="1">
        <v>26</v>
      </c>
    </row>
    <row r="75" spans="1:6" hidden="1">
      <c r="A75" s="4" t="s">
        <v>130</v>
      </c>
      <c r="B75" s="3" t="s">
        <v>130</v>
      </c>
      <c r="C75" s="3">
        <v>4</v>
      </c>
      <c r="D75" t="s">
        <v>16</v>
      </c>
      <c r="E75" s="9" t="s">
        <v>175</v>
      </c>
      <c r="F75" s="1">
        <v>27</v>
      </c>
    </row>
    <row r="76" spans="1:6">
      <c r="A76" s="5" t="s">
        <v>130</v>
      </c>
      <c r="B76" s="3" t="s">
        <v>131</v>
      </c>
      <c r="C76" s="3">
        <v>4</v>
      </c>
      <c r="D76" t="s">
        <v>16</v>
      </c>
      <c r="E76" s="9" t="s">
        <v>177</v>
      </c>
      <c r="F76" s="1">
        <v>15</v>
      </c>
    </row>
    <row r="77" spans="1:6">
      <c r="A77" s="4" t="s">
        <v>19</v>
      </c>
      <c r="B77" s="3" t="s">
        <v>21</v>
      </c>
      <c r="C77" s="3">
        <v>5</v>
      </c>
      <c r="D77" t="s">
        <v>7</v>
      </c>
      <c r="E77" s="3" t="s">
        <v>177</v>
      </c>
      <c r="F77" s="1">
        <v>12</v>
      </c>
    </row>
    <row r="78" spans="1:6" hidden="1">
      <c r="A78" s="5" t="s">
        <v>19</v>
      </c>
      <c r="B78" s="3" t="s">
        <v>21</v>
      </c>
      <c r="C78" s="3">
        <v>5</v>
      </c>
      <c r="D78" t="s">
        <v>7</v>
      </c>
      <c r="E78" s="3" t="s">
        <v>175</v>
      </c>
      <c r="F78" s="1">
        <v>10</v>
      </c>
    </row>
    <row r="79" spans="1:6" hidden="1">
      <c r="A79" s="4" t="s">
        <v>50</v>
      </c>
      <c r="B79" s="3" t="s">
        <v>51</v>
      </c>
      <c r="C79" s="3">
        <v>5</v>
      </c>
      <c r="D79" t="s">
        <v>8</v>
      </c>
      <c r="E79" s="3" t="s">
        <v>175</v>
      </c>
      <c r="F79" s="1">
        <v>22</v>
      </c>
    </row>
    <row r="80" spans="1:6">
      <c r="A80" s="5" t="s">
        <v>50</v>
      </c>
      <c r="B80" s="3" t="s">
        <v>51</v>
      </c>
      <c r="C80" s="3">
        <v>5</v>
      </c>
      <c r="D80" t="s">
        <v>8</v>
      </c>
      <c r="E80" s="3" t="s">
        <v>177</v>
      </c>
      <c r="F80" s="1">
        <v>24</v>
      </c>
    </row>
    <row r="81" spans="1:6">
      <c r="A81" s="5" t="s">
        <v>52</v>
      </c>
      <c r="B81" s="3" t="s">
        <v>52</v>
      </c>
      <c r="C81" s="3">
        <v>5</v>
      </c>
      <c r="D81" t="s">
        <v>16</v>
      </c>
      <c r="E81" s="3" t="s">
        <v>177</v>
      </c>
      <c r="F81" s="1">
        <v>13</v>
      </c>
    </row>
    <row r="82" spans="1:6" hidden="1">
      <c r="A82" s="5" t="s">
        <v>96</v>
      </c>
      <c r="B82" s="3" t="s">
        <v>96</v>
      </c>
      <c r="C82" s="9">
        <v>5</v>
      </c>
      <c r="D82" t="s">
        <v>8</v>
      </c>
      <c r="E82" s="9" t="s">
        <v>175</v>
      </c>
      <c r="F82" s="1">
        <v>30</v>
      </c>
    </row>
    <row r="83" spans="1:6">
      <c r="A83" s="5" t="s">
        <v>96</v>
      </c>
      <c r="B83" s="3" t="s">
        <v>96</v>
      </c>
      <c r="C83" s="9">
        <v>5</v>
      </c>
      <c r="D83" t="s">
        <v>8</v>
      </c>
      <c r="E83" s="9" t="s">
        <v>177</v>
      </c>
      <c r="F83" s="1">
        <v>12</v>
      </c>
    </row>
    <row r="84" spans="1:6" hidden="1">
      <c r="A84" s="4" t="s">
        <v>138</v>
      </c>
      <c r="B84" s="3" t="s">
        <v>139</v>
      </c>
      <c r="C84" s="3">
        <v>5</v>
      </c>
      <c r="D84" t="s">
        <v>8</v>
      </c>
      <c r="E84" s="9" t="s">
        <v>175</v>
      </c>
      <c r="F84" s="1">
        <v>18</v>
      </c>
    </row>
    <row r="85" spans="1:6">
      <c r="A85" s="4" t="s">
        <v>138</v>
      </c>
      <c r="B85" s="3" t="s">
        <v>139</v>
      </c>
      <c r="C85" s="3">
        <v>5</v>
      </c>
      <c r="D85" t="s">
        <v>8</v>
      </c>
      <c r="E85" s="9" t="s">
        <v>177</v>
      </c>
      <c r="F85" s="1">
        <v>18</v>
      </c>
    </row>
    <row r="86" spans="1:6">
      <c r="A86" s="5" t="s">
        <v>140</v>
      </c>
      <c r="B86" s="3" t="s">
        <v>140</v>
      </c>
      <c r="C86" s="3">
        <v>5</v>
      </c>
      <c r="D86" t="s">
        <v>16</v>
      </c>
      <c r="E86" s="9" t="s">
        <v>178</v>
      </c>
      <c r="F86" s="1">
        <v>16</v>
      </c>
    </row>
    <row r="87" spans="1:6">
      <c r="A87" s="5" t="s">
        <v>149</v>
      </c>
      <c r="B87" s="3" t="s">
        <v>149</v>
      </c>
      <c r="C87" s="3">
        <v>5</v>
      </c>
      <c r="D87" t="s">
        <v>16</v>
      </c>
      <c r="E87" s="9" t="s">
        <v>177</v>
      </c>
      <c r="F87" s="1">
        <v>17</v>
      </c>
    </row>
    <row r="88" spans="1:6" hidden="1">
      <c r="A88" s="5" t="s">
        <v>150</v>
      </c>
      <c r="B88" s="3" t="s">
        <v>150</v>
      </c>
      <c r="C88" s="3">
        <v>5</v>
      </c>
      <c r="D88" t="s">
        <v>8</v>
      </c>
      <c r="E88" s="9" t="s">
        <v>175</v>
      </c>
      <c r="F88" s="1">
        <v>24</v>
      </c>
    </row>
    <row r="89" spans="1:6">
      <c r="A89" s="4" t="s">
        <v>150</v>
      </c>
      <c r="B89" s="3" t="s">
        <v>150</v>
      </c>
      <c r="C89" s="3">
        <v>5</v>
      </c>
      <c r="D89" t="s">
        <v>16</v>
      </c>
      <c r="E89" s="9" t="s">
        <v>177</v>
      </c>
      <c r="F89" s="1">
        <v>19</v>
      </c>
    </row>
    <row r="90" spans="1:6">
      <c r="A90" s="5" t="s">
        <v>153</v>
      </c>
      <c r="B90" s="3" t="s">
        <v>153</v>
      </c>
      <c r="C90" s="3">
        <v>5</v>
      </c>
      <c r="D90" t="s">
        <v>16</v>
      </c>
      <c r="E90" s="9" t="s">
        <v>177</v>
      </c>
      <c r="F90" s="1">
        <v>17</v>
      </c>
    </row>
    <row r="91" spans="1:6" hidden="1">
      <c r="A91" s="4" t="s">
        <v>36</v>
      </c>
      <c r="B91" s="3" t="s">
        <v>36</v>
      </c>
      <c r="C91" s="3">
        <v>6</v>
      </c>
      <c r="D91" t="s">
        <v>16</v>
      </c>
      <c r="E91" s="3" t="s">
        <v>175</v>
      </c>
      <c r="F91" s="1">
        <v>28</v>
      </c>
    </row>
    <row r="92" spans="1:6">
      <c r="A92" s="4" t="s">
        <v>36</v>
      </c>
      <c r="B92" s="3" t="s">
        <v>36</v>
      </c>
      <c r="C92" s="3">
        <v>6</v>
      </c>
      <c r="D92" t="s">
        <v>16</v>
      </c>
      <c r="E92" s="3" t="s">
        <v>177</v>
      </c>
      <c r="F92" s="1">
        <v>29</v>
      </c>
    </row>
    <row r="93" spans="1:6">
      <c r="A93" s="5" t="s">
        <v>61</v>
      </c>
      <c r="B93" s="3" t="s">
        <v>62</v>
      </c>
      <c r="C93" s="3">
        <v>6</v>
      </c>
      <c r="D93" t="s">
        <v>16</v>
      </c>
      <c r="E93" s="3" t="s">
        <v>177</v>
      </c>
      <c r="F93" s="1">
        <v>17</v>
      </c>
    </row>
    <row r="94" spans="1:6">
      <c r="A94" s="4" t="s">
        <v>90</v>
      </c>
      <c r="B94" s="3" t="s">
        <v>90</v>
      </c>
      <c r="C94" s="9">
        <v>6</v>
      </c>
      <c r="D94" t="s">
        <v>16</v>
      </c>
      <c r="E94" s="9" t="s">
        <v>177</v>
      </c>
      <c r="F94" s="1">
        <v>27</v>
      </c>
    </row>
    <row r="95" spans="1:6" hidden="1">
      <c r="A95" s="5" t="s">
        <v>106</v>
      </c>
      <c r="B95" s="3" t="s">
        <v>107</v>
      </c>
      <c r="C95" s="3">
        <v>6</v>
      </c>
      <c r="D95" t="s">
        <v>7</v>
      </c>
      <c r="E95" s="9" t="s">
        <v>175</v>
      </c>
      <c r="F95" s="1">
        <v>26</v>
      </c>
    </row>
    <row r="96" spans="1:6">
      <c r="A96" s="4" t="s">
        <v>106</v>
      </c>
      <c r="B96" s="3" t="s">
        <v>107</v>
      </c>
      <c r="C96" s="3">
        <v>6</v>
      </c>
      <c r="D96" t="s">
        <v>7</v>
      </c>
      <c r="E96" s="9" t="s">
        <v>177</v>
      </c>
      <c r="F96" s="1">
        <v>19</v>
      </c>
    </row>
    <row r="97" spans="1:6" hidden="1">
      <c r="A97" s="5" t="s">
        <v>108</v>
      </c>
      <c r="B97" s="3" t="s">
        <v>109</v>
      </c>
      <c r="C97" s="3">
        <v>6</v>
      </c>
      <c r="D97" t="s">
        <v>7</v>
      </c>
      <c r="E97" s="8" t="s">
        <v>175</v>
      </c>
      <c r="F97" s="1">
        <v>15</v>
      </c>
    </row>
    <row r="98" spans="1:6">
      <c r="A98" s="5" t="s">
        <v>108</v>
      </c>
      <c r="B98" s="3" t="s">
        <v>110</v>
      </c>
      <c r="C98" s="3">
        <v>6</v>
      </c>
      <c r="D98" t="s">
        <v>7</v>
      </c>
      <c r="E98" s="8" t="s">
        <v>177</v>
      </c>
      <c r="F98" s="1">
        <v>11</v>
      </c>
    </row>
    <row r="99" spans="1:6">
      <c r="A99" s="5" t="s">
        <v>108</v>
      </c>
      <c r="B99" s="3" t="s">
        <v>111</v>
      </c>
      <c r="C99" s="3">
        <v>6</v>
      </c>
      <c r="D99" t="s">
        <v>7</v>
      </c>
      <c r="E99" s="8" t="s">
        <v>177</v>
      </c>
      <c r="F99" s="1">
        <v>21</v>
      </c>
    </row>
    <row r="100" spans="1:6" hidden="1">
      <c r="A100" s="5" t="s">
        <v>143</v>
      </c>
      <c r="B100" s="3" t="s">
        <v>144</v>
      </c>
      <c r="C100" s="3">
        <v>6</v>
      </c>
      <c r="D100" t="s">
        <v>16</v>
      </c>
      <c r="E100" s="9" t="s">
        <v>175</v>
      </c>
      <c r="F100" s="1">
        <v>25</v>
      </c>
    </row>
    <row r="101" spans="1:6">
      <c r="A101" s="5" t="s">
        <v>143</v>
      </c>
      <c r="B101" s="3" t="s">
        <v>144</v>
      </c>
      <c r="C101" s="3">
        <v>6</v>
      </c>
      <c r="D101" t="s">
        <v>16</v>
      </c>
      <c r="E101" s="9" t="s">
        <v>177</v>
      </c>
      <c r="F101" s="1">
        <v>25</v>
      </c>
    </row>
    <row r="102" spans="1:6">
      <c r="A102" s="5" t="s">
        <v>13</v>
      </c>
      <c r="B102" s="3" t="s">
        <v>13</v>
      </c>
      <c r="C102" s="3">
        <v>7</v>
      </c>
      <c r="D102" t="s">
        <v>9</v>
      </c>
      <c r="E102" s="3" t="s">
        <v>177</v>
      </c>
      <c r="F102" s="1">
        <v>20</v>
      </c>
    </row>
    <row r="103" spans="1:6">
      <c r="A103" s="4" t="s">
        <v>13</v>
      </c>
      <c r="B103" s="3" t="s">
        <v>13</v>
      </c>
      <c r="C103" s="3">
        <v>7</v>
      </c>
      <c r="D103" t="s">
        <v>9</v>
      </c>
      <c r="E103" s="3" t="s">
        <v>177</v>
      </c>
      <c r="F103" s="1">
        <v>8</v>
      </c>
    </row>
    <row r="104" spans="1:6">
      <c r="A104" s="4" t="s">
        <v>13</v>
      </c>
      <c r="B104" s="3" t="s">
        <v>13</v>
      </c>
      <c r="C104" s="3">
        <v>7</v>
      </c>
      <c r="D104" t="s">
        <v>9</v>
      </c>
      <c r="E104" s="3" t="s">
        <v>177</v>
      </c>
      <c r="F104" s="1">
        <v>2</v>
      </c>
    </row>
    <row r="105" spans="1:6" hidden="1">
      <c r="A105" s="5" t="s">
        <v>27</v>
      </c>
      <c r="B105" s="3" t="s">
        <v>27</v>
      </c>
      <c r="C105" s="3">
        <v>7</v>
      </c>
      <c r="D105" t="s">
        <v>8</v>
      </c>
      <c r="E105" s="3" t="s">
        <v>175</v>
      </c>
      <c r="F105" s="1">
        <v>9</v>
      </c>
    </row>
    <row r="106" spans="1:6">
      <c r="A106" s="5" t="s">
        <v>27</v>
      </c>
      <c r="B106" s="3" t="s">
        <v>27</v>
      </c>
      <c r="C106" s="3">
        <v>7</v>
      </c>
      <c r="D106" t="s">
        <v>8</v>
      </c>
      <c r="E106" s="3" t="s">
        <v>177</v>
      </c>
      <c r="F106" s="1">
        <v>17</v>
      </c>
    </row>
    <row r="107" spans="1:6" hidden="1">
      <c r="A107" s="5" t="s">
        <v>34</v>
      </c>
      <c r="B107" s="3" t="s">
        <v>35</v>
      </c>
      <c r="C107" s="3">
        <v>7</v>
      </c>
      <c r="D107" t="s">
        <v>8</v>
      </c>
      <c r="E107" s="3" t="s">
        <v>175</v>
      </c>
      <c r="F107" s="1">
        <v>21</v>
      </c>
    </row>
    <row r="108" spans="1:6">
      <c r="A108" s="4" t="s">
        <v>34</v>
      </c>
      <c r="B108" s="3" t="s">
        <v>35</v>
      </c>
      <c r="C108" s="3">
        <v>7</v>
      </c>
      <c r="D108" t="s">
        <v>8</v>
      </c>
      <c r="E108" s="3" t="s">
        <v>177</v>
      </c>
      <c r="F108" s="1">
        <v>18</v>
      </c>
    </row>
    <row r="109" spans="1:6">
      <c r="A109" s="4" t="s">
        <v>34</v>
      </c>
      <c r="B109" s="3" t="s">
        <v>35</v>
      </c>
      <c r="C109" s="3">
        <v>7</v>
      </c>
      <c r="D109" t="s">
        <v>8</v>
      </c>
      <c r="E109" s="3" t="s">
        <v>177</v>
      </c>
      <c r="F109" s="1">
        <v>19</v>
      </c>
    </row>
    <row r="110" spans="1:6" hidden="1">
      <c r="A110" s="5" t="s">
        <v>42</v>
      </c>
      <c r="B110" s="3" t="s">
        <v>42</v>
      </c>
      <c r="C110" s="3">
        <v>7</v>
      </c>
      <c r="D110" t="s">
        <v>16</v>
      </c>
      <c r="E110" s="3" t="s">
        <v>175</v>
      </c>
      <c r="F110" s="1">
        <v>28</v>
      </c>
    </row>
    <row r="111" spans="1:6">
      <c r="A111" s="4" t="s">
        <v>42</v>
      </c>
      <c r="B111" s="3" t="s">
        <v>42</v>
      </c>
      <c r="C111" s="3">
        <v>7</v>
      </c>
      <c r="D111" t="s">
        <v>16</v>
      </c>
      <c r="E111" s="3" t="s">
        <v>177</v>
      </c>
      <c r="F111" s="1">
        <v>30</v>
      </c>
    </row>
    <row r="112" spans="1:6" hidden="1">
      <c r="A112" s="5" t="s">
        <v>45</v>
      </c>
      <c r="B112" s="3" t="s">
        <v>45</v>
      </c>
      <c r="C112" s="3">
        <v>7</v>
      </c>
      <c r="D112" t="s">
        <v>8</v>
      </c>
      <c r="E112" s="3" t="s">
        <v>175</v>
      </c>
      <c r="F112" s="1">
        <v>14</v>
      </c>
    </row>
    <row r="113" spans="1:6">
      <c r="A113" s="4" t="s">
        <v>45</v>
      </c>
      <c r="B113" s="3" t="s">
        <v>45</v>
      </c>
      <c r="C113" s="3">
        <v>7</v>
      </c>
      <c r="D113" t="s">
        <v>8</v>
      </c>
      <c r="E113" s="3" t="s">
        <v>177</v>
      </c>
      <c r="F113" s="1">
        <v>22</v>
      </c>
    </row>
    <row r="114" spans="1:6">
      <c r="A114" s="5" t="s">
        <v>58</v>
      </c>
      <c r="B114" s="3" t="s">
        <v>59</v>
      </c>
      <c r="C114" s="3">
        <v>7</v>
      </c>
      <c r="D114" t="s">
        <v>16</v>
      </c>
      <c r="E114" s="3" t="s">
        <v>177</v>
      </c>
      <c r="F114" s="1">
        <v>19</v>
      </c>
    </row>
    <row r="115" spans="1:6">
      <c r="A115" s="4" t="s">
        <v>92</v>
      </c>
      <c r="B115" s="3" t="s">
        <v>92</v>
      </c>
      <c r="C115" s="3">
        <v>7</v>
      </c>
      <c r="D115" t="s">
        <v>16</v>
      </c>
      <c r="E115" s="9" t="s">
        <v>177</v>
      </c>
      <c r="F115" s="1">
        <v>19</v>
      </c>
    </row>
    <row r="116" spans="1:6" hidden="1">
      <c r="A116" s="4" t="s">
        <v>127</v>
      </c>
      <c r="B116" s="3" t="s">
        <v>127</v>
      </c>
      <c r="C116" s="3">
        <v>7</v>
      </c>
      <c r="D116" t="s">
        <v>8</v>
      </c>
      <c r="E116" s="8" t="s">
        <v>175</v>
      </c>
      <c r="F116" s="1">
        <v>17</v>
      </c>
    </row>
    <row r="117" spans="1:6">
      <c r="A117" s="5" t="s">
        <v>127</v>
      </c>
      <c r="B117" s="3" t="s">
        <v>127</v>
      </c>
      <c r="C117" s="3">
        <v>7</v>
      </c>
      <c r="D117" t="s">
        <v>8</v>
      </c>
      <c r="E117" s="8" t="s">
        <v>177</v>
      </c>
      <c r="F117" s="1">
        <v>15</v>
      </c>
    </row>
    <row r="118" spans="1:6">
      <c r="A118" s="4" t="s">
        <v>127</v>
      </c>
      <c r="B118" s="3" t="s">
        <v>127</v>
      </c>
      <c r="C118" s="3">
        <v>7</v>
      </c>
      <c r="D118" t="s">
        <v>8</v>
      </c>
      <c r="E118" s="8" t="s">
        <v>177</v>
      </c>
      <c r="F118" s="1">
        <v>16</v>
      </c>
    </row>
    <row r="119" spans="1:6" hidden="1">
      <c r="A119" s="5" t="s">
        <v>132</v>
      </c>
      <c r="B119" s="3" t="s">
        <v>132</v>
      </c>
      <c r="C119" s="3">
        <v>7</v>
      </c>
      <c r="D119" t="s">
        <v>16</v>
      </c>
      <c r="E119" s="9" t="s">
        <v>175</v>
      </c>
      <c r="F119" s="1">
        <v>22</v>
      </c>
    </row>
    <row r="120" spans="1:6" hidden="1">
      <c r="A120" s="4" t="s">
        <v>151</v>
      </c>
      <c r="B120" s="3" t="s">
        <v>152</v>
      </c>
      <c r="C120" s="3">
        <v>7</v>
      </c>
      <c r="D120" t="s">
        <v>8</v>
      </c>
      <c r="E120" s="9" t="s">
        <v>175</v>
      </c>
      <c r="F120" s="1">
        <v>23</v>
      </c>
    </row>
    <row r="121" spans="1:6">
      <c r="A121" s="5" t="s">
        <v>151</v>
      </c>
      <c r="B121" s="3" t="s">
        <v>152</v>
      </c>
      <c r="C121" s="3">
        <v>7</v>
      </c>
      <c r="D121" t="s">
        <v>8</v>
      </c>
      <c r="E121" s="9" t="s">
        <v>177</v>
      </c>
      <c r="F121" s="1">
        <v>24</v>
      </c>
    </row>
    <row r="122" spans="1:6" hidden="1">
      <c r="A122" s="4" t="s">
        <v>164</v>
      </c>
      <c r="B122" s="3" t="s">
        <v>164</v>
      </c>
      <c r="C122" s="3">
        <v>7</v>
      </c>
      <c r="D122" t="s">
        <v>16</v>
      </c>
      <c r="E122" s="9" t="s">
        <v>175</v>
      </c>
      <c r="F122" s="1">
        <v>27</v>
      </c>
    </row>
    <row r="123" spans="1:6">
      <c r="A123" s="5" t="s">
        <v>164</v>
      </c>
      <c r="B123" s="3" t="s">
        <v>164</v>
      </c>
      <c r="C123" s="3">
        <v>7</v>
      </c>
      <c r="D123" t="s">
        <v>16</v>
      </c>
      <c r="E123" s="9" t="s">
        <v>177</v>
      </c>
      <c r="F123" s="1">
        <v>23</v>
      </c>
    </row>
    <row r="124" spans="1:6" hidden="1">
      <c r="A124" s="5" t="s">
        <v>75</v>
      </c>
      <c r="B124" s="3" t="s">
        <v>75</v>
      </c>
      <c r="C124" s="3">
        <v>8</v>
      </c>
      <c r="D124" t="s">
        <v>8</v>
      </c>
      <c r="E124" s="3" t="s">
        <v>175</v>
      </c>
      <c r="F124" s="1">
        <v>24</v>
      </c>
    </row>
    <row r="125" spans="1:6">
      <c r="A125" s="4" t="s">
        <v>75</v>
      </c>
      <c r="B125" s="3" t="s">
        <v>75</v>
      </c>
      <c r="C125" s="3">
        <v>8</v>
      </c>
      <c r="D125" t="s">
        <v>8</v>
      </c>
      <c r="E125" s="3" t="s">
        <v>177</v>
      </c>
      <c r="F125" s="1">
        <v>23</v>
      </c>
    </row>
    <row r="126" spans="1:6" hidden="1">
      <c r="A126" s="5" t="s">
        <v>91</v>
      </c>
      <c r="B126" s="3" t="s">
        <v>91</v>
      </c>
      <c r="C126" s="3">
        <v>8</v>
      </c>
      <c r="D126" t="s">
        <v>8</v>
      </c>
      <c r="E126" s="8" t="s">
        <v>175</v>
      </c>
      <c r="F126" s="1">
        <v>23</v>
      </c>
    </row>
    <row r="127" spans="1:6">
      <c r="A127" s="5" t="s">
        <v>91</v>
      </c>
      <c r="B127" s="3" t="s">
        <v>91</v>
      </c>
      <c r="C127" s="3">
        <v>8</v>
      </c>
      <c r="D127" t="s">
        <v>16</v>
      </c>
      <c r="E127" s="8" t="s">
        <v>177</v>
      </c>
      <c r="F127" s="1">
        <v>22</v>
      </c>
    </row>
    <row r="128" spans="1:6" hidden="1">
      <c r="A128" s="4" t="s">
        <v>91</v>
      </c>
      <c r="B128" s="3" t="s">
        <v>91</v>
      </c>
      <c r="C128" s="3">
        <v>8</v>
      </c>
      <c r="D128" t="s">
        <v>16</v>
      </c>
      <c r="E128" s="8" t="s">
        <v>175</v>
      </c>
      <c r="F128" s="1">
        <v>22</v>
      </c>
    </row>
    <row r="129" spans="1:6">
      <c r="A129" s="5" t="s">
        <v>91</v>
      </c>
      <c r="B129" s="3" t="s">
        <v>91</v>
      </c>
      <c r="C129" s="3">
        <v>8</v>
      </c>
      <c r="D129" t="s">
        <v>16</v>
      </c>
      <c r="E129" s="8" t="s">
        <v>177</v>
      </c>
      <c r="F129" s="1">
        <v>25</v>
      </c>
    </row>
    <row r="130" spans="1:6" hidden="1">
      <c r="A130" s="4" t="s">
        <v>102</v>
      </c>
      <c r="B130" s="3" t="s">
        <v>103</v>
      </c>
      <c r="C130" s="3">
        <v>8</v>
      </c>
      <c r="D130" t="s">
        <v>8</v>
      </c>
      <c r="E130" s="9" t="s">
        <v>175</v>
      </c>
      <c r="F130" s="1">
        <v>9</v>
      </c>
    </row>
    <row r="131" spans="1:6">
      <c r="A131" s="5" t="s">
        <v>102</v>
      </c>
      <c r="B131" s="3" t="s">
        <v>103</v>
      </c>
      <c r="C131" s="3">
        <v>8</v>
      </c>
      <c r="D131" t="s">
        <v>16</v>
      </c>
      <c r="E131" s="9" t="s">
        <v>177</v>
      </c>
      <c r="F131" s="1">
        <v>9</v>
      </c>
    </row>
    <row r="132" spans="1:6" hidden="1">
      <c r="A132" s="4" t="s">
        <v>116</v>
      </c>
      <c r="B132" s="3" t="s">
        <v>117</v>
      </c>
      <c r="C132" s="3">
        <v>8</v>
      </c>
      <c r="D132" t="s">
        <v>8</v>
      </c>
      <c r="E132" s="9" t="s">
        <v>175</v>
      </c>
      <c r="F132" s="1">
        <v>27</v>
      </c>
    </row>
    <row r="133" spans="1:6">
      <c r="A133" s="5" t="s">
        <v>116</v>
      </c>
      <c r="B133" s="3" t="s">
        <v>117</v>
      </c>
      <c r="C133" s="3">
        <v>8</v>
      </c>
      <c r="D133" t="s">
        <v>7</v>
      </c>
      <c r="E133" s="9" t="s">
        <v>177</v>
      </c>
      <c r="F133" s="1">
        <v>27</v>
      </c>
    </row>
    <row r="134" spans="1:6" hidden="1">
      <c r="A134" s="4" t="s">
        <v>165</v>
      </c>
      <c r="B134" s="3" t="s">
        <v>166</v>
      </c>
      <c r="C134" s="3">
        <v>8</v>
      </c>
      <c r="D134" t="s">
        <v>8</v>
      </c>
      <c r="E134" s="8" t="s">
        <v>175</v>
      </c>
      <c r="F134" s="1">
        <v>37</v>
      </c>
    </row>
    <row r="135" spans="1:6">
      <c r="A135" s="5" t="s">
        <v>165</v>
      </c>
      <c r="B135" s="3" t="s">
        <v>166</v>
      </c>
      <c r="C135" s="3">
        <v>8</v>
      </c>
      <c r="D135" t="s">
        <v>8</v>
      </c>
      <c r="E135" s="8" t="s">
        <v>177</v>
      </c>
      <c r="F135" s="1">
        <v>32</v>
      </c>
    </row>
    <row r="136" spans="1:6" hidden="1">
      <c r="A136" s="4" t="s">
        <v>165</v>
      </c>
      <c r="B136" s="3" t="s">
        <v>166</v>
      </c>
      <c r="C136" s="3">
        <v>8</v>
      </c>
      <c r="D136" t="s">
        <v>16</v>
      </c>
      <c r="E136" s="8" t="s">
        <v>175</v>
      </c>
      <c r="F136" s="1">
        <v>32</v>
      </c>
    </row>
    <row r="137" spans="1:6" hidden="1">
      <c r="A137" s="5" t="s">
        <v>165</v>
      </c>
      <c r="B137" s="3" t="s">
        <v>166</v>
      </c>
      <c r="C137" s="3">
        <v>8</v>
      </c>
      <c r="D137" t="s">
        <v>16</v>
      </c>
      <c r="E137" s="8" t="s">
        <v>175</v>
      </c>
      <c r="F137" s="1">
        <v>33</v>
      </c>
    </row>
    <row r="138" spans="1:6">
      <c r="A138" s="5" t="s">
        <v>165</v>
      </c>
      <c r="B138" s="3" t="s">
        <v>166</v>
      </c>
      <c r="C138" s="3">
        <v>8</v>
      </c>
      <c r="D138" t="s">
        <v>16</v>
      </c>
      <c r="E138" s="8" t="s">
        <v>177</v>
      </c>
      <c r="F138" s="1">
        <v>35</v>
      </c>
    </row>
    <row r="139" spans="1:6" hidden="1">
      <c r="A139" s="4" t="s">
        <v>114</v>
      </c>
      <c r="B139" s="3" t="s">
        <v>115</v>
      </c>
      <c r="C139" s="3">
        <v>9</v>
      </c>
      <c r="D139" t="s">
        <v>8</v>
      </c>
      <c r="E139" s="9" t="s">
        <v>175</v>
      </c>
      <c r="F139" s="1">
        <v>17</v>
      </c>
    </row>
    <row r="140" spans="1:6">
      <c r="A140" s="5" t="s">
        <v>114</v>
      </c>
      <c r="B140" s="3" t="s">
        <v>115</v>
      </c>
      <c r="C140" s="3">
        <v>9</v>
      </c>
      <c r="D140" t="s">
        <v>16</v>
      </c>
      <c r="E140" s="9" t="s">
        <v>177</v>
      </c>
      <c r="F140" s="1">
        <v>23</v>
      </c>
    </row>
    <row r="141" spans="1:6" hidden="1">
      <c r="A141" s="5" t="s">
        <v>129</v>
      </c>
      <c r="B141" s="3" t="s">
        <v>129</v>
      </c>
      <c r="C141" s="3">
        <v>9</v>
      </c>
      <c r="D141" t="s">
        <v>16</v>
      </c>
      <c r="E141" s="9" t="s">
        <v>175</v>
      </c>
      <c r="F141" s="1">
        <v>13</v>
      </c>
    </row>
    <row r="142" spans="1:6">
      <c r="A142" s="5" t="s">
        <v>129</v>
      </c>
      <c r="B142" s="3" t="s">
        <v>129</v>
      </c>
      <c r="C142" s="3">
        <v>9</v>
      </c>
      <c r="D142" t="s">
        <v>16</v>
      </c>
      <c r="E142" s="9" t="s">
        <v>177</v>
      </c>
      <c r="F142" s="1">
        <v>23</v>
      </c>
    </row>
    <row r="143" spans="1:6" hidden="1">
      <c r="A143" s="4" t="s">
        <v>22</v>
      </c>
      <c r="B143" s="3" t="s">
        <v>23</v>
      </c>
      <c r="C143" s="3">
        <v>10</v>
      </c>
      <c r="D143" t="s">
        <v>8</v>
      </c>
      <c r="E143" s="3" t="s">
        <v>175</v>
      </c>
      <c r="F143" s="1">
        <v>16</v>
      </c>
    </row>
    <row r="144" spans="1:6">
      <c r="A144" s="5" t="s">
        <v>22</v>
      </c>
      <c r="B144" s="3" t="s">
        <v>23</v>
      </c>
      <c r="C144" s="3">
        <v>10</v>
      </c>
      <c r="D144" t="s">
        <v>16</v>
      </c>
      <c r="E144" s="3" t="s">
        <v>177</v>
      </c>
      <c r="F144" s="1">
        <v>23</v>
      </c>
    </row>
    <row r="145" spans="1:6" hidden="1">
      <c r="A145" s="5" t="s">
        <v>87</v>
      </c>
      <c r="B145" s="3" t="s">
        <v>87</v>
      </c>
      <c r="C145" s="3">
        <v>10</v>
      </c>
      <c r="D145" t="s">
        <v>8</v>
      </c>
      <c r="E145" s="8" t="s">
        <v>175</v>
      </c>
      <c r="F145" s="1">
        <v>32</v>
      </c>
    </row>
    <row r="146" spans="1:6">
      <c r="A146" s="4" t="s">
        <v>87</v>
      </c>
      <c r="B146" s="3" t="s">
        <v>87</v>
      </c>
      <c r="C146" s="3">
        <v>10</v>
      </c>
      <c r="D146" t="s">
        <v>8</v>
      </c>
      <c r="E146" s="8" t="s">
        <v>177</v>
      </c>
      <c r="F146" s="1">
        <v>30</v>
      </c>
    </row>
    <row r="147" spans="1:6" hidden="1">
      <c r="A147" s="5" t="s">
        <v>87</v>
      </c>
      <c r="B147" s="3" t="s">
        <v>87</v>
      </c>
      <c r="C147" s="3">
        <v>10</v>
      </c>
      <c r="D147" t="s">
        <v>8</v>
      </c>
      <c r="E147" s="8" t="s">
        <v>175</v>
      </c>
      <c r="F147" s="1">
        <v>30</v>
      </c>
    </row>
    <row r="148" spans="1:6">
      <c r="A148" s="4" t="s">
        <v>87</v>
      </c>
      <c r="B148" s="3" t="s">
        <v>87</v>
      </c>
      <c r="C148" s="3">
        <v>10</v>
      </c>
      <c r="D148" t="s">
        <v>16</v>
      </c>
      <c r="E148" s="8" t="s">
        <v>177</v>
      </c>
      <c r="F148" s="1">
        <v>25</v>
      </c>
    </row>
    <row r="149" spans="1:6" hidden="1">
      <c r="A149" s="5" t="s">
        <v>87</v>
      </c>
      <c r="B149" s="3" t="s">
        <v>88</v>
      </c>
      <c r="C149" s="3">
        <v>10</v>
      </c>
      <c r="D149" t="s">
        <v>8</v>
      </c>
      <c r="E149" s="8" t="s">
        <v>175</v>
      </c>
      <c r="F149" s="1">
        <v>30</v>
      </c>
    </row>
    <row r="150" spans="1:6">
      <c r="A150" s="4" t="s">
        <v>87</v>
      </c>
      <c r="B150" s="3" t="s">
        <v>88</v>
      </c>
      <c r="C150" s="3">
        <v>10</v>
      </c>
      <c r="D150" t="s">
        <v>8</v>
      </c>
      <c r="E150" s="8" t="s">
        <v>177</v>
      </c>
      <c r="F150" s="1">
        <v>22</v>
      </c>
    </row>
    <row r="151" spans="1:6">
      <c r="A151" s="4" t="s">
        <v>87</v>
      </c>
      <c r="B151" s="3" t="s">
        <v>88</v>
      </c>
      <c r="C151" s="3">
        <v>10</v>
      </c>
      <c r="D151" t="s">
        <v>8</v>
      </c>
      <c r="E151" s="8" t="s">
        <v>177</v>
      </c>
      <c r="F151" s="1">
        <v>28</v>
      </c>
    </row>
    <row r="152" spans="1:6" hidden="1">
      <c r="A152" s="5" t="s">
        <v>155</v>
      </c>
      <c r="B152" s="3" t="s">
        <v>155</v>
      </c>
      <c r="C152" s="3">
        <v>10</v>
      </c>
      <c r="D152" t="s">
        <v>8</v>
      </c>
      <c r="E152" s="8" t="s">
        <v>175</v>
      </c>
      <c r="F152" s="1">
        <v>20</v>
      </c>
    </row>
    <row r="153" spans="1:6">
      <c r="A153" s="4" t="s">
        <v>155</v>
      </c>
      <c r="B153" s="3" t="s">
        <v>155</v>
      </c>
      <c r="C153" s="3">
        <v>10</v>
      </c>
      <c r="D153" t="s">
        <v>8</v>
      </c>
      <c r="E153" s="8" t="s">
        <v>177</v>
      </c>
      <c r="F153" s="1">
        <v>23</v>
      </c>
    </row>
    <row r="154" spans="1:6" hidden="1">
      <c r="A154" s="4" t="s">
        <v>155</v>
      </c>
      <c r="B154" s="3" t="s">
        <v>155</v>
      </c>
      <c r="C154" s="3">
        <v>10</v>
      </c>
      <c r="D154" t="s">
        <v>16</v>
      </c>
      <c r="E154" s="8" t="s">
        <v>175</v>
      </c>
      <c r="F154" s="1">
        <v>16</v>
      </c>
    </row>
    <row r="155" spans="1:6">
      <c r="A155" s="4" t="s">
        <v>155</v>
      </c>
      <c r="B155" s="3" t="s">
        <v>155</v>
      </c>
      <c r="C155" s="3">
        <v>10</v>
      </c>
      <c r="D155" t="s">
        <v>16</v>
      </c>
      <c r="E155" s="8" t="s">
        <v>177</v>
      </c>
      <c r="F155" s="1">
        <v>26</v>
      </c>
    </row>
    <row r="156" spans="1:6">
      <c r="A156" s="5" t="s">
        <v>156</v>
      </c>
      <c r="B156" s="3" t="s">
        <v>156</v>
      </c>
      <c r="C156" s="3">
        <v>10</v>
      </c>
      <c r="D156" t="s">
        <v>8</v>
      </c>
      <c r="E156" s="9" t="s">
        <v>177</v>
      </c>
      <c r="F156" s="1">
        <v>17</v>
      </c>
    </row>
    <row r="157" spans="1:6">
      <c r="A157" s="4" t="s">
        <v>125</v>
      </c>
      <c r="B157" s="3" t="s">
        <v>125</v>
      </c>
      <c r="C157" s="3">
        <v>11</v>
      </c>
      <c r="D157" t="s">
        <v>8</v>
      </c>
      <c r="E157" s="8" t="s">
        <v>177</v>
      </c>
      <c r="F157" s="1">
        <v>23</v>
      </c>
    </row>
    <row r="158" spans="1:6">
      <c r="A158" s="4" t="s">
        <v>125</v>
      </c>
      <c r="B158" s="3" t="s">
        <v>125</v>
      </c>
      <c r="C158" s="3">
        <v>11</v>
      </c>
      <c r="D158" t="s">
        <v>8</v>
      </c>
      <c r="E158" s="8" t="s">
        <v>177</v>
      </c>
      <c r="F158" s="1">
        <v>22</v>
      </c>
    </row>
    <row r="159" spans="1:6" hidden="1">
      <c r="A159" s="5" t="s">
        <v>125</v>
      </c>
      <c r="B159" s="3" t="s">
        <v>126</v>
      </c>
      <c r="C159" s="3">
        <v>11</v>
      </c>
      <c r="D159" t="s">
        <v>8</v>
      </c>
      <c r="E159" s="8" t="s">
        <v>175</v>
      </c>
      <c r="F159" s="1">
        <v>17</v>
      </c>
    </row>
    <row r="160" spans="1:6">
      <c r="A160" s="4" t="s">
        <v>125</v>
      </c>
      <c r="B160" s="3" t="s">
        <v>126</v>
      </c>
      <c r="C160" s="3">
        <v>11</v>
      </c>
      <c r="D160" t="s">
        <v>8</v>
      </c>
      <c r="E160" s="8" t="s">
        <v>177</v>
      </c>
      <c r="F160" s="1">
        <v>18</v>
      </c>
    </row>
    <row r="161" spans="1:6" hidden="1">
      <c r="A161" s="5" t="s">
        <v>162</v>
      </c>
      <c r="B161" s="3" t="s">
        <v>163</v>
      </c>
      <c r="C161" s="3">
        <v>12</v>
      </c>
      <c r="D161" t="s">
        <v>8</v>
      </c>
      <c r="E161" s="9" t="s">
        <v>175</v>
      </c>
      <c r="F161" s="1">
        <v>25</v>
      </c>
    </row>
    <row r="162" spans="1:6">
      <c r="A162" s="4" t="s">
        <v>162</v>
      </c>
      <c r="B162" s="3" t="s">
        <v>163</v>
      </c>
      <c r="C162" s="3">
        <v>12</v>
      </c>
      <c r="D162" t="s">
        <v>8</v>
      </c>
      <c r="E162" s="9" t="s">
        <v>177</v>
      </c>
      <c r="F162" s="1">
        <v>24</v>
      </c>
    </row>
    <row r="163" spans="1:6" hidden="1">
      <c r="A163" s="5" t="s">
        <v>14</v>
      </c>
      <c r="B163" s="3" t="s">
        <v>15</v>
      </c>
      <c r="C163" s="3">
        <v>13</v>
      </c>
      <c r="D163" t="s">
        <v>8</v>
      </c>
      <c r="E163" s="3" t="s">
        <v>175</v>
      </c>
      <c r="F163" s="1">
        <v>32</v>
      </c>
    </row>
    <row r="164" spans="1:6">
      <c r="A164" s="4" t="s">
        <v>14</v>
      </c>
      <c r="B164" s="3" t="s">
        <v>15</v>
      </c>
      <c r="C164" s="3">
        <v>13</v>
      </c>
      <c r="D164" t="s">
        <v>16</v>
      </c>
      <c r="E164" s="3" t="s">
        <v>177</v>
      </c>
      <c r="F164" s="1">
        <v>26</v>
      </c>
    </row>
    <row r="165" spans="1:6" hidden="1">
      <c r="A165" s="5" t="s">
        <v>40</v>
      </c>
      <c r="B165" s="3" t="s">
        <v>41</v>
      </c>
      <c r="C165" s="3">
        <v>13</v>
      </c>
      <c r="D165" t="s">
        <v>7</v>
      </c>
      <c r="E165" s="3" t="s">
        <v>175</v>
      </c>
      <c r="F165" s="1">
        <v>30</v>
      </c>
    </row>
    <row r="166" spans="1:6">
      <c r="A166" s="4" t="s">
        <v>40</v>
      </c>
      <c r="B166" s="3" t="s">
        <v>41</v>
      </c>
      <c r="C166" s="3">
        <v>13</v>
      </c>
      <c r="D166" t="s">
        <v>7</v>
      </c>
      <c r="E166" s="3" t="s">
        <v>177</v>
      </c>
      <c r="F166" s="1">
        <v>28</v>
      </c>
    </row>
    <row r="167" spans="1:6" hidden="1">
      <c r="A167" s="5" t="s">
        <v>54</v>
      </c>
      <c r="B167" s="3" t="s">
        <v>54</v>
      </c>
      <c r="C167" s="3">
        <v>13</v>
      </c>
      <c r="D167" t="s">
        <v>16</v>
      </c>
      <c r="E167" s="3" t="s">
        <v>175</v>
      </c>
      <c r="F167" s="1">
        <v>17</v>
      </c>
    </row>
    <row r="168" spans="1:6">
      <c r="A168" s="5" t="s">
        <v>54</v>
      </c>
      <c r="B168" s="3" t="s">
        <v>54</v>
      </c>
      <c r="C168" s="3">
        <v>13</v>
      </c>
      <c r="D168" t="s">
        <v>16</v>
      </c>
      <c r="E168" s="3" t="s">
        <v>177</v>
      </c>
      <c r="F168" s="1">
        <v>30</v>
      </c>
    </row>
    <row r="169" spans="1:6">
      <c r="A169" s="4" t="s">
        <v>56</v>
      </c>
      <c r="B169" s="3" t="s">
        <v>57</v>
      </c>
      <c r="C169" s="3">
        <v>13</v>
      </c>
      <c r="D169" t="s">
        <v>16</v>
      </c>
      <c r="E169" s="3" t="s">
        <v>177</v>
      </c>
      <c r="F169" s="1">
        <v>20</v>
      </c>
    </row>
    <row r="170" spans="1:6" hidden="1">
      <c r="A170" s="4" t="s">
        <v>80</v>
      </c>
      <c r="B170" s="3" t="s">
        <v>81</v>
      </c>
      <c r="C170" s="3">
        <v>13</v>
      </c>
      <c r="D170" t="s">
        <v>8</v>
      </c>
      <c r="E170" s="9" t="s">
        <v>175</v>
      </c>
      <c r="F170" s="1">
        <v>27</v>
      </c>
    </row>
    <row r="171" spans="1:6">
      <c r="A171" s="5" t="s">
        <v>80</v>
      </c>
      <c r="B171" s="3" t="s">
        <v>81</v>
      </c>
      <c r="C171" s="3">
        <v>13</v>
      </c>
      <c r="D171" t="s">
        <v>16</v>
      </c>
      <c r="E171" s="9" t="s">
        <v>177</v>
      </c>
      <c r="F171" s="1">
        <v>26</v>
      </c>
    </row>
    <row r="172" spans="1:6" hidden="1">
      <c r="A172" s="4" t="s">
        <v>112</v>
      </c>
      <c r="B172" s="3" t="s">
        <v>113</v>
      </c>
      <c r="C172" s="3">
        <v>13</v>
      </c>
      <c r="D172" t="s">
        <v>8</v>
      </c>
      <c r="E172" s="8" t="s">
        <v>175</v>
      </c>
      <c r="F172" s="1">
        <v>34</v>
      </c>
    </row>
    <row r="173" spans="1:6">
      <c r="A173" s="5" t="s">
        <v>112</v>
      </c>
      <c r="B173" s="3" t="s">
        <v>113</v>
      </c>
      <c r="C173" s="3">
        <v>13</v>
      </c>
      <c r="D173" t="s">
        <v>8</v>
      </c>
      <c r="E173" s="8" t="s">
        <v>177</v>
      </c>
      <c r="F173" s="1">
        <v>28</v>
      </c>
    </row>
    <row r="174" spans="1:6">
      <c r="A174" s="4" t="s">
        <v>112</v>
      </c>
      <c r="B174" s="3" t="s">
        <v>113</v>
      </c>
      <c r="C174" s="3">
        <v>13</v>
      </c>
      <c r="D174" t="s">
        <v>16</v>
      </c>
      <c r="E174" s="8" t="s">
        <v>177</v>
      </c>
      <c r="F174" s="1">
        <v>30</v>
      </c>
    </row>
    <row r="175" spans="1:6" hidden="1">
      <c r="A175" s="4" t="s">
        <v>93</v>
      </c>
      <c r="B175" s="3" t="s">
        <v>94</v>
      </c>
      <c r="C175" s="3">
        <v>15</v>
      </c>
      <c r="D175" t="s">
        <v>7</v>
      </c>
      <c r="E175" s="9" t="s">
        <v>175</v>
      </c>
      <c r="F175" s="1">
        <v>21</v>
      </c>
    </row>
    <row r="176" spans="1:6">
      <c r="A176" s="5" t="s">
        <v>93</v>
      </c>
      <c r="B176" s="3" t="s">
        <v>94</v>
      </c>
      <c r="C176" s="3">
        <v>15</v>
      </c>
      <c r="D176" t="s">
        <v>7</v>
      </c>
      <c r="E176" s="9" t="s">
        <v>177</v>
      </c>
      <c r="F176" s="1">
        <v>9</v>
      </c>
    </row>
    <row r="177" spans="1:6">
      <c r="A177" s="4" t="s">
        <v>17</v>
      </c>
      <c r="B177" s="3" t="s">
        <v>17</v>
      </c>
      <c r="C177" s="3">
        <v>16</v>
      </c>
      <c r="D177" t="s">
        <v>7</v>
      </c>
      <c r="E177" s="3" t="s">
        <v>177</v>
      </c>
      <c r="F177" s="1">
        <v>29</v>
      </c>
    </row>
    <row r="178" spans="1:6" hidden="1">
      <c r="A178" s="5" t="s">
        <v>17</v>
      </c>
      <c r="B178" s="3" t="s">
        <v>18</v>
      </c>
      <c r="C178" s="3">
        <v>16</v>
      </c>
      <c r="D178" t="s">
        <v>7</v>
      </c>
      <c r="E178" s="3" t="s">
        <v>175</v>
      </c>
      <c r="F178" s="1">
        <v>28</v>
      </c>
    </row>
    <row r="179" spans="1:6" hidden="1">
      <c r="A179" s="5" t="s">
        <v>44</v>
      </c>
      <c r="B179" s="3" t="s">
        <v>44</v>
      </c>
      <c r="C179" s="3">
        <v>16</v>
      </c>
      <c r="D179" t="s">
        <v>16</v>
      </c>
      <c r="E179" s="3" t="s">
        <v>175</v>
      </c>
      <c r="F179" s="1">
        <v>16</v>
      </c>
    </row>
    <row r="180" spans="1:6">
      <c r="A180" s="5" t="s">
        <v>44</v>
      </c>
      <c r="B180" s="3" t="s">
        <v>44</v>
      </c>
      <c r="C180" s="3">
        <v>16</v>
      </c>
      <c r="D180" t="s">
        <v>16</v>
      </c>
      <c r="E180" s="3" t="s">
        <v>177</v>
      </c>
      <c r="F180" s="1">
        <v>17</v>
      </c>
    </row>
    <row r="181" spans="1:6">
      <c r="A181" s="4" t="s">
        <v>44</v>
      </c>
      <c r="B181" s="3" t="s">
        <v>44</v>
      </c>
      <c r="C181" s="3">
        <v>16</v>
      </c>
      <c r="D181" t="s">
        <v>16</v>
      </c>
      <c r="E181" s="3" t="s">
        <v>177</v>
      </c>
      <c r="F181" s="1">
        <v>15</v>
      </c>
    </row>
    <row r="182" spans="1:6">
      <c r="A182" s="4" t="s">
        <v>44</v>
      </c>
      <c r="B182" s="3" t="s">
        <v>44</v>
      </c>
      <c r="C182" s="3">
        <v>16</v>
      </c>
      <c r="D182" t="s">
        <v>16</v>
      </c>
      <c r="E182" s="3" t="s">
        <v>177</v>
      </c>
      <c r="F182" s="1">
        <v>14</v>
      </c>
    </row>
    <row r="183" spans="1:6" hidden="1">
      <c r="A183" s="5" t="s">
        <v>145</v>
      </c>
      <c r="B183" s="3" t="s">
        <v>145</v>
      </c>
      <c r="C183" s="3">
        <v>16</v>
      </c>
      <c r="D183" t="s">
        <v>7</v>
      </c>
      <c r="E183" s="9" t="s">
        <v>175</v>
      </c>
      <c r="F183" s="1">
        <v>20</v>
      </c>
    </row>
    <row r="184" spans="1:6">
      <c r="A184" s="4" t="s">
        <v>145</v>
      </c>
      <c r="B184" s="3" t="s">
        <v>145</v>
      </c>
      <c r="C184" s="3">
        <v>16</v>
      </c>
      <c r="D184" t="s">
        <v>7</v>
      </c>
      <c r="E184" s="9" t="s">
        <v>177</v>
      </c>
      <c r="F184" s="1">
        <v>25</v>
      </c>
    </row>
    <row r="185" spans="1:6" hidden="1">
      <c r="A185" s="5" t="s">
        <v>46</v>
      </c>
      <c r="B185" s="3" t="s">
        <v>46</v>
      </c>
      <c r="C185" s="3">
        <v>60</v>
      </c>
      <c r="D185" t="s">
        <v>7</v>
      </c>
      <c r="E185" s="3" t="s">
        <v>175</v>
      </c>
      <c r="F185" s="1">
        <v>33</v>
      </c>
    </row>
    <row r="186" spans="1:6">
      <c r="A186" s="4" t="s">
        <v>46</v>
      </c>
      <c r="B186" s="3" t="s">
        <v>46</v>
      </c>
      <c r="C186" s="3">
        <v>60</v>
      </c>
      <c r="D186" t="s">
        <v>7</v>
      </c>
      <c r="E186" s="3" t="s">
        <v>177</v>
      </c>
      <c r="F186" s="1">
        <v>30</v>
      </c>
    </row>
    <row r="187" spans="1:6">
      <c r="A187" s="5" t="s">
        <v>97</v>
      </c>
      <c r="B187" s="3" t="s">
        <v>97</v>
      </c>
      <c r="C187" s="9">
        <v>60</v>
      </c>
      <c r="D187" t="s">
        <v>8</v>
      </c>
      <c r="E187" s="9" t="s">
        <v>177</v>
      </c>
      <c r="F187" s="1">
        <v>19</v>
      </c>
    </row>
    <row r="188" spans="1:6" hidden="1">
      <c r="A188" s="5" t="s">
        <v>118</v>
      </c>
      <c r="B188" s="3" t="s">
        <v>118</v>
      </c>
      <c r="C188" s="3">
        <v>60</v>
      </c>
      <c r="D188" t="s">
        <v>8</v>
      </c>
      <c r="E188" s="9" t="s">
        <v>175</v>
      </c>
      <c r="F188" s="1">
        <v>24</v>
      </c>
    </row>
    <row r="189" spans="1:6">
      <c r="A189" s="5" t="s">
        <v>118</v>
      </c>
      <c r="B189" s="3" t="s">
        <v>119</v>
      </c>
      <c r="C189" s="3">
        <v>60</v>
      </c>
      <c r="D189" t="s">
        <v>16</v>
      </c>
      <c r="E189" s="9" t="s">
        <v>177</v>
      </c>
      <c r="F189" s="1">
        <v>23</v>
      </c>
    </row>
    <row r="190" spans="1:6" hidden="1">
      <c r="A190" s="4" t="s">
        <v>121</v>
      </c>
      <c r="B190" s="3" t="s">
        <v>122</v>
      </c>
      <c r="C190" s="3">
        <v>60</v>
      </c>
      <c r="D190" t="s">
        <v>16</v>
      </c>
      <c r="E190" s="9" t="s">
        <v>175</v>
      </c>
      <c r="F190" s="1">
        <v>17</v>
      </c>
    </row>
    <row r="191" spans="1:6">
      <c r="A191" s="5" t="s">
        <v>121</v>
      </c>
      <c r="B191" s="3" t="s">
        <v>122</v>
      </c>
      <c r="C191" s="3">
        <v>60</v>
      </c>
      <c r="D191" t="s">
        <v>16</v>
      </c>
      <c r="E191" s="9" t="s">
        <v>177</v>
      </c>
      <c r="F191" s="1">
        <v>26</v>
      </c>
    </row>
    <row r="192" spans="1:6">
      <c r="A192" s="4" t="s">
        <v>135</v>
      </c>
      <c r="B192" s="3" t="s">
        <v>135</v>
      </c>
      <c r="C192" s="3">
        <v>60</v>
      </c>
      <c r="D192" t="s">
        <v>8</v>
      </c>
      <c r="E192" s="9" t="s">
        <v>177</v>
      </c>
      <c r="F192" s="1">
        <v>26</v>
      </c>
    </row>
    <row r="193" spans="1:6" hidden="1">
      <c r="A193" s="5" t="s">
        <v>141</v>
      </c>
      <c r="B193" s="3" t="s">
        <v>141</v>
      </c>
      <c r="C193" s="3">
        <v>60</v>
      </c>
      <c r="D193" t="s">
        <v>8</v>
      </c>
      <c r="E193" s="9" t="s">
        <v>175</v>
      </c>
      <c r="F193" s="1">
        <v>25</v>
      </c>
    </row>
    <row r="194" spans="1:6">
      <c r="A194" s="4" t="s">
        <v>141</v>
      </c>
      <c r="B194" s="3" t="s">
        <v>142</v>
      </c>
      <c r="C194" s="3">
        <v>60</v>
      </c>
      <c r="D194" t="s">
        <v>8</v>
      </c>
      <c r="E194" s="9" t="s">
        <v>177</v>
      </c>
      <c r="F194" s="1">
        <v>14</v>
      </c>
    </row>
    <row r="195" spans="1:6">
      <c r="A195" s="5" t="s">
        <v>6</v>
      </c>
      <c r="B195" s="3" t="s">
        <v>6</v>
      </c>
      <c r="C195" s="3">
        <v>70</v>
      </c>
      <c r="D195" t="s">
        <v>7</v>
      </c>
      <c r="E195" t="s">
        <v>177</v>
      </c>
      <c r="F195" s="1">
        <v>20</v>
      </c>
    </row>
    <row r="196" spans="1:6" hidden="1">
      <c r="A196" s="5" t="s">
        <v>47</v>
      </c>
      <c r="B196" s="3" t="s">
        <v>48</v>
      </c>
      <c r="C196" s="3">
        <v>70</v>
      </c>
      <c r="D196" t="s">
        <v>8</v>
      </c>
      <c r="E196" s="3" t="s">
        <v>175</v>
      </c>
      <c r="F196" s="1">
        <v>23</v>
      </c>
    </row>
    <row r="197" spans="1:6">
      <c r="A197" s="5" t="s">
        <v>47</v>
      </c>
      <c r="B197" s="3" t="s">
        <v>48</v>
      </c>
      <c r="C197" s="3">
        <v>70</v>
      </c>
      <c r="D197" t="s">
        <v>16</v>
      </c>
      <c r="E197" s="3" t="s">
        <v>177</v>
      </c>
      <c r="F197" s="1">
        <v>23</v>
      </c>
    </row>
    <row r="198" spans="1:6" hidden="1">
      <c r="A198" s="5" t="s">
        <v>47</v>
      </c>
      <c r="B198" s="3" t="s">
        <v>49</v>
      </c>
      <c r="C198" s="3">
        <v>70</v>
      </c>
      <c r="D198" t="s">
        <v>16</v>
      </c>
      <c r="E198" s="3" t="s">
        <v>175</v>
      </c>
      <c r="F198" s="1">
        <v>20</v>
      </c>
    </row>
    <row r="199" spans="1:6">
      <c r="A199" s="4" t="s">
        <v>47</v>
      </c>
      <c r="B199" s="3" t="s">
        <v>49</v>
      </c>
      <c r="C199" s="3">
        <v>70</v>
      </c>
      <c r="D199" t="s">
        <v>16</v>
      </c>
      <c r="E199" s="3" t="s">
        <v>177</v>
      </c>
      <c r="F199" s="1">
        <v>24</v>
      </c>
    </row>
    <row r="200" spans="1:6">
      <c r="A200" s="5" t="s">
        <v>28</v>
      </c>
      <c r="B200" s="3" t="s">
        <v>28</v>
      </c>
      <c r="C200" s="3">
        <v>80</v>
      </c>
      <c r="D200" t="s">
        <v>16</v>
      </c>
      <c r="E200" s="3" t="s">
        <v>177</v>
      </c>
      <c r="F200" s="1">
        <v>15</v>
      </c>
    </row>
    <row r="201" spans="1:6" hidden="1">
      <c r="A201" s="5" t="s">
        <v>28</v>
      </c>
      <c r="B201" s="3" t="s">
        <v>29</v>
      </c>
      <c r="C201" s="3">
        <v>80</v>
      </c>
      <c r="D201" t="s">
        <v>8</v>
      </c>
      <c r="E201" s="3" t="s">
        <v>175</v>
      </c>
      <c r="F201" s="1">
        <v>25</v>
      </c>
    </row>
    <row r="202" spans="1:6" hidden="1">
      <c r="A202" s="5" t="s">
        <v>60</v>
      </c>
      <c r="B202" s="3" t="s">
        <v>60</v>
      </c>
      <c r="C202" s="3">
        <v>80</v>
      </c>
      <c r="D202" t="s">
        <v>16</v>
      </c>
      <c r="E202" s="3" t="s">
        <v>175</v>
      </c>
      <c r="F202" s="1">
        <v>20</v>
      </c>
    </row>
    <row r="203" spans="1:6">
      <c r="A203" s="5" t="s">
        <v>60</v>
      </c>
      <c r="B203" s="3" t="s">
        <v>60</v>
      </c>
      <c r="C203" s="3">
        <v>80</v>
      </c>
      <c r="D203" t="s">
        <v>16</v>
      </c>
      <c r="E203" s="3" t="s">
        <v>177</v>
      </c>
      <c r="F203" s="1">
        <v>25</v>
      </c>
    </row>
    <row r="204" spans="1:6" hidden="1">
      <c r="A204" s="5" t="s">
        <v>157</v>
      </c>
      <c r="B204" s="3" t="s">
        <v>157</v>
      </c>
      <c r="C204" s="3">
        <v>80</v>
      </c>
      <c r="D204" t="s">
        <v>7</v>
      </c>
      <c r="E204" s="9" t="s">
        <v>175</v>
      </c>
      <c r="F204" s="1">
        <v>24</v>
      </c>
    </row>
    <row r="205" spans="1:6">
      <c r="A205" s="4" t="s">
        <v>157</v>
      </c>
      <c r="B205" s="3" t="s">
        <v>157</v>
      </c>
      <c r="C205" s="3">
        <v>80</v>
      </c>
      <c r="D205" t="s">
        <v>7</v>
      </c>
      <c r="E205" s="9" t="s">
        <v>177</v>
      </c>
      <c r="F205" s="1">
        <v>22</v>
      </c>
    </row>
    <row r="206" spans="1:6" hidden="1">
      <c r="A206" s="6" t="s">
        <v>171</v>
      </c>
      <c r="B206" s="6"/>
      <c r="C206" s="6"/>
      <c r="D206" s="6"/>
      <c r="E206" s="6"/>
      <c r="F206" s="7">
        <v>4621</v>
      </c>
    </row>
  </sheetData>
  <autoFilter ref="A1:F206">
    <filterColumn colId="4">
      <filters>
        <filter val="AA./BRUJ"/>
        <filter val="ACELERACIÓN"/>
      </filters>
    </filterColumn>
  </autoFilter>
  <sortState ref="A2:F206">
    <sortCondition ref="C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70"/>
  <sheetViews>
    <sheetView topLeftCell="B162" workbookViewId="0">
      <selection activeCell="G250" sqref="G250:G251"/>
    </sheetView>
  </sheetViews>
  <sheetFormatPr baseColWidth="10" defaultRowHeight="14"/>
  <cols>
    <col min="1" max="1" width="65" bestFit="1" customWidth="1"/>
    <col min="2" max="2" width="70.54296875" bestFit="1" customWidth="1"/>
    <col min="3" max="3" width="8.1796875" customWidth="1"/>
    <col min="4" max="4" width="8.81640625" bestFit="1" customWidth="1"/>
    <col min="5" max="5" width="10.6328125" bestFit="1" customWidth="1"/>
    <col min="6" max="6" width="10.6328125" customWidth="1"/>
    <col min="7" max="7" width="6.26953125" bestFit="1" customWidth="1"/>
  </cols>
  <sheetData>
    <row r="1" spans="1:7">
      <c r="A1" s="2" t="s">
        <v>0</v>
      </c>
      <c r="B1" s="2" t="s">
        <v>1</v>
      </c>
      <c r="C1" s="2" t="s">
        <v>176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30</v>
      </c>
      <c r="B2" s="3" t="s">
        <v>30</v>
      </c>
      <c r="C2" s="3">
        <v>1</v>
      </c>
      <c r="D2" t="s">
        <v>7</v>
      </c>
      <c r="E2" s="3">
        <v>11</v>
      </c>
      <c r="F2" s="3" t="s">
        <v>173</v>
      </c>
      <c r="G2" s="1">
        <v>32</v>
      </c>
    </row>
    <row r="3" spans="1:7" hidden="1">
      <c r="A3" s="3" t="s">
        <v>30</v>
      </c>
      <c r="B3" s="3" t="s">
        <v>33</v>
      </c>
      <c r="C3" s="3">
        <v>1</v>
      </c>
      <c r="D3" t="s">
        <v>8</v>
      </c>
      <c r="E3" s="3">
        <v>7</v>
      </c>
      <c r="F3" s="3" t="s">
        <v>172</v>
      </c>
      <c r="G3" s="1">
        <v>34</v>
      </c>
    </row>
    <row r="4" spans="1:7" hidden="1">
      <c r="A4" s="4" t="s">
        <v>30</v>
      </c>
      <c r="B4" s="3" t="s">
        <v>33</v>
      </c>
      <c r="C4" s="3">
        <v>1</v>
      </c>
      <c r="D4" t="s">
        <v>8</v>
      </c>
      <c r="E4" s="3">
        <v>7</v>
      </c>
      <c r="F4" s="3" t="s">
        <v>172</v>
      </c>
      <c r="G4" s="1">
        <v>30</v>
      </c>
    </row>
    <row r="5" spans="1:7" hidden="1">
      <c r="A5" s="3" t="s">
        <v>30</v>
      </c>
      <c r="B5" s="3" t="s">
        <v>33</v>
      </c>
      <c r="C5" s="3">
        <v>1</v>
      </c>
      <c r="D5" t="s">
        <v>8</v>
      </c>
      <c r="E5" s="3">
        <v>9</v>
      </c>
      <c r="F5" s="3" t="s">
        <v>174</v>
      </c>
      <c r="G5" s="1">
        <v>29</v>
      </c>
    </row>
    <row r="6" spans="1:7" hidden="1">
      <c r="A6" s="4" t="s">
        <v>30</v>
      </c>
      <c r="B6" s="3" t="s">
        <v>33</v>
      </c>
      <c r="C6" s="3">
        <v>1</v>
      </c>
      <c r="D6" t="s">
        <v>8</v>
      </c>
      <c r="E6" s="3">
        <v>9</v>
      </c>
      <c r="F6" s="3" t="s">
        <v>174</v>
      </c>
      <c r="G6" s="1">
        <v>31</v>
      </c>
    </row>
    <row r="7" spans="1:7" hidden="1">
      <c r="A7" s="5" t="s">
        <v>72</v>
      </c>
      <c r="B7" s="3" t="s">
        <v>72</v>
      </c>
      <c r="C7" s="3">
        <v>1</v>
      </c>
      <c r="D7" t="s">
        <v>16</v>
      </c>
      <c r="E7" s="3">
        <v>7</v>
      </c>
      <c r="F7" s="3" t="s">
        <v>172</v>
      </c>
      <c r="G7" s="1">
        <v>27</v>
      </c>
    </row>
    <row r="8" spans="1:7" hidden="1">
      <c r="A8" s="5" t="s">
        <v>72</v>
      </c>
      <c r="B8" s="3" t="s">
        <v>72</v>
      </c>
      <c r="C8" s="3">
        <v>1</v>
      </c>
      <c r="D8" t="s">
        <v>16</v>
      </c>
      <c r="E8" s="3">
        <v>7</v>
      </c>
      <c r="F8" s="3" t="s">
        <v>172</v>
      </c>
      <c r="G8" s="1">
        <v>29</v>
      </c>
    </row>
    <row r="9" spans="1:7" hidden="1">
      <c r="A9" s="5" t="s">
        <v>72</v>
      </c>
      <c r="B9" s="3" t="s">
        <v>72</v>
      </c>
      <c r="C9" s="3">
        <v>1</v>
      </c>
      <c r="D9" t="s">
        <v>16</v>
      </c>
      <c r="E9" s="3">
        <v>9</v>
      </c>
      <c r="F9" s="3" t="s">
        <v>174</v>
      </c>
      <c r="G9" s="1">
        <v>30</v>
      </c>
    </row>
    <row r="10" spans="1:7" hidden="1">
      <c r="A10" s="5" t="s">
        <v>72</v>
      </c>
      <c r="B10" s="3" t="s">
        <v>72</v>
      </c>
      <c r="C10" s="3">
        <v>1</v>
      </c>
      <c r="D10" t="s">
        <v>16</v>
      </c>
      <c r="E10" s="3">
        <v>9</v>
      </c>
      <c r="F10" s="3" t="s">
        <v>174</v>
      </c>
      <c r="G10" s="1">
        <v>29</v>
      </c>
    </row>
    <row r="11" spans="1:7">
      <c r="A11" s="5" t="s">
        <v>72</v>
      </c>
      <c r="B11" s="3" t="s">
        <v>72</v>
      </c>
      <c r="C11" s="3">
        <v>1</v>
      </c>
      <c r="D11" t="s">
        <v>7</v>
      </c>
      <c r="E11" s="3">
        <v>11</v>
      </c>
      <c r="F11" s="3" t="s">
        <v>173</v>
      </c>
      <c r="G11" s="1">
        <v>30</v>
      </c>
    </row>
    <row r="12" spans="1:7" hidden="1">
      <c r="A12" s="4" t="s">
        <v>73</v>
      </c>
      <c r="B12" s="3" t="s">
        <v>73</v>
      </c>
      <c r="C12" s="3">
        <v>1</v>
      </c>
      <c r="D12" t="s">
        <v>7</v>
      </c>
      <c r="E12" s="3">
        <v>7</v>
      </c>
      <c r="F12" s="3" t="s">
        <v>172</v>
      </c>
      <c r="G12" s="1">
        <v>30</v>
      </c>
    </row>
    <row r="13" spans="1:7" hidden="1">
      <c r="A13" s="5" t="s">
        <v>73</v>
      </c>
      <c r="B13" s="3" t="s">
        <v>73</v>
      </c>
      <c r="C13" s="3">
        <v>1</v>
      </c>
      <c r="D13" t="s">
        <v>7</v>
      </c>
      <c r="E13" s="3">
        <v>9</v>
      </c>
      <c r="F13" s="3" t="s">
        <v>174</v>
      </c>
      <c r="G13" s="1">
        <v>28</v>
      </c>
    </row>
    <row r="14" spans="1:7" hidden="1">
      <c r="A14" s="5" t="s">
        <v>85</v>
      </c>
      <c r="B14" s="3" t="s">
        <v>85</v>
      </c>
      <c r="C14" s="3">
        <v>1</v>
      </c>
      <c r="D14" t="s">
        <v>16</v>
      </c>
      <c r="E14" s="3">
        <v>7</v>
      </c>
      <c r="F14" s="3" t="s">
        <v>172</v>
      </c>
      <c r="G14" s="1">
        <v>25</v>
      </c>
    </row>
    <row r="15" spans="1:7" hidden="1">
      <c r="A15" s="4" t="s">
        <v>85</v>
      </c>
      <c r="B15" s="3" t="s">
        <v>85</v>
      </c>
      <c r="C15" s="3">
        <v>1</v>
      </c>
      <c r="D15" t="s">
        <v>16</v>
      </c>
      <c r="E15" s="3">
        <v>7</v>
      </c>
      <c r="F15" s="3" t="s">
        <v>172</v>
      </c>
      <c r="G15" s="1">
        <v>24</v>
      </c>
    </row>
    <row r="16" spans="1:7" hidden="1">
      <c r="A16" s="5" t="s">
        <v>85</v>
      </c>
      <c r="B16" s="3" t="s">
        <v>85</v>
      </c>
      <c r="C16" s="3">
        <v>1</v>
      </c>
      <c r="D16" t="s">
        <v>16</v>
      </c>
      <c r="E16" s="3">
        <v>9</v>
      </c>
      <c r="F16" s="3" t="s">
        <v>174</v>
      </c>
      <c r="G16" s="1">
        <v>19</v>
      </c>
    </row>
    <row r="17" spans="1:7" hidden="1">
      <c r="A17" s="5" t="s">
        <v>85</v>
      </c>
      <c r="B17" s="3" t="s">
        <v>85</v>
      </c>
      <c r="C17" s="3">
        <v>1</v>
      </c>
      <c r="D17" t="s">
        <v>16</v>
      </c>
      <c r="E17" s="3">
        <v>9</v>
      </c>
      <c r="F17" s="3" t="s">
        <v>174</v>
      </c>
      <c r="G17" s="1">
        <v>18</v>
      </c>
    </row>
    <row r="18" spans="1:7">
      <c r="A18" s="4" t="s">
        <v>85</v>
      </c>
      <c r="B18" s="3" t="s">
        <v>85</v>
      </c>
      <c r="C18" s="3">
        <v>1</v>
      </c>
      <c r="D18" t="s">
        <v>7</v>
      </c>
      <c r="E18" s="3">
        <v>11</v>
      </c>
      <c r="F18" s="3" t="s">
        <v>173</v>
      </c>
      <c r="G18" s="1">
        <v>25</v>
      </c>
    </row>
    <row r="19" spans="1:7">
      <c r="A19" s="5" t="s">
        <v>85</v>
      </c>
      <c r="B19" s="3" t="s">
        <v>85</v>
      </c>
      <c r="C19" s="3">
        <v>1</v>
      </c>
      <c r="D19" t="s">
        <v>7</v>
      </c>
      <c r="E19" s="3">
        <v>11</v>
      </c>
      <c r="F19" s="3" t="s">
        <v>173</v>
      </c>
      <c r="G19" s="1">
        <v>23</v>
      </c>
    </row>
    <row r="20" spans="1:7" hidden="1">
      <c r="A20" s="5" t="s">
        <v>159</v>
      </c>
      <c r="B20" s="3" t="s">
        <v>159</v>
      </c>
      <c r="C20" s="3">
        <v>1</v>
      </c>
      <c r="D20" t="s">
        <v>8</v>
      </c>
      <c r="E20" s="3">
        <v>9</v>
      </c>
      <c r="F20" s="3" t="s">
        <v>174</v>
      </c>
      <c r="G20" s="1">
        <v>17</v>
      </c>
    </row>
    <row r="21" spans="1:7" hidden="1">
      <c r="A21" s="5" t="s">
        <v>159</v>
      </c>
      <c r="B21" s="3" t="s">
        <v>159</v>
      </c>
      <c r="C21" s="3">
        <v>1</v>
      </c>
      <c r="D21" t="s">
        <v>8</v>
      </c>
      <c r="E21" s="3">
        <v>9</v>
      </c>
      <c r="F21" s="3" t="s">
        <v>174</v>
      </c>
      <c r="G21" s="1">
        <v>20</v>
      </c>
    </row>
    <row r="22" spans="1:7" hidden="1">
      <c r="A22" s="5" t="s">
        <v>159</v>
      </c>
      <c r="B22" s="3" t="s">
        <v>159</v>
      </c>
      <c r="C22" s="3">
        <v>1</v>
      </c>
      <c r="D22" t="s">
        <v>16</v>
      </c>
      <c r="E22" s="3">
        <v>7</v>
      </c>
      <c r="F22" s="3" t="s">
        <v>172</v>
      </c>
      <c r="G22" s="1">
        <v>29</v>
      </c>
    </row>
    <row r="23" spans="1:7" hidden="1">
      <c r="A23" s="5" t="s">
        <v>159</v>
      </c>
      <c r="B23" s="3" t="s">
        <v>159</v>
      </c>
      <c r="C23" s="3">
        <v>1</v>
      </c>
      <c r="D23" t="s">
        <v>16</v>
      </c>
      <c r="E23" s="3">
        <v>7</v>
      </c>
      <c r="F23" s="3" t="s">
        <v>172</v>
      </c>
      <c r="G23" s="1">
        <v>21</v>
      </c>
    </row>
    <row r="24" spans="1:7" hidden="1">
      <c r="A24" s="5" t="s">
        <v>76</v>
      </c>
      <c r="B24" s="3" t="s">
        <v>76</v>
      </c>
      <c r="C24" s="3">
        <v>2</v>
      </c>
      <c r="D24" t="s">
        <v>8</v>
      </c>
      <c r="E24" s="3">
        <v>7</v>
      </c>
      <c r="F24" s="3" t="s">
        <v>172</v>
      </c>
      <c r="G24" s="1">
        <v>27</v>
      </c>
    </row>
    <row r="25" spans="1:7" hidden="1">
      <c r="A25" s="4" t="s">
        <v>76</v>
      </c>
      <c r="B25" s="3" t="s">
        <v>76</v>
      </c>
      <c r="C25" s="3">
        <v>2</v>
      </c>
      <c r="D25" t="s">
        <v>8</v>
      </c>
      <c r="E25" s="3">
        <v>7</v>
      </c>
      <c r="F25" s="3" t="s">
        <v>172</v>
      </c>
      <c r="G25" s="1">
        <v>27</v>
      </c>
    </row>
    <row r="26" spans="1:7" hidden="1">
      <c r="A26" s="5" t="s">
        <v>76</v>
      </c>
      <c r="B26" s="3" t="s">
        <v>76</v>
      </c>
      <c r="C26" s="3">
        <v>2</v>
      </c>
      <c r="D26" t="s">
        <v>8</v>
      </c>
      <c r="E26" s="3">
        <v>7</v>
      </c>
      <c r="F26" s="3" t="s">
        <v>172</v>
      </c>
      <c r="G26" s="1">
        <v>28</v>
      </c>
    </row>
    <row r="27" spans="1:7" hidden="1">
      <c r="A27" s="4" t="s">
        <v>76</v>
      </c>
      <c r="B27" s="3" t="s">
        <v>76</v>
      </c>
      <c r="C27" s="3">
        <v>2</v>
      </c>
      <c r="D27" t="s">
        <v>8</v>
      </c>
      <c r="E27" s="3">
        <v>7</v>
      </c>
      <c r="F27" s="3" t="s">
        <v>172</v>
      </c>
      <c r="G27" s="1">
        <v>30</v>
      </c>
    </row>
    <row r="28" spans="1:7" hidden="1">
      <c r="A28" s="5" t="s">
        <v>76</v>
      </c>
      <c r="B28" s="3" t="s">
        <v>76</v>
      </c>
      <c r="C28" s="3">
        <v>2</v>
      </c>
      <c r="D28" t="s">
        <v>8</v>
      </c>
      <c r="E28" s="3">
        <v>9</v>
      </c>
      <c r="F28" s="3" t="s">
        <v>174</v>
      </c>
      <c r="G28" s="1">
        <v>26</v>
      </c>
    </row>
    <row r="29" spans="1:7" hidden="1">
      <c r="A29" s="5" t="s">
        <v>76</v>
      </c>
      <c r="B29" s="3" t="s">
        <v>76</v>
      </c>
      <c r="C29" s="3">
        <v>2</v>
      </c>
      <c r="D29" t="s">
        <v>8</v>
      </c>
      <c r="E29" s="3">
        <v>9</v>
      </c>
      <c r="F29" s="3" t="s">
        <v>174</v>
      </c>
      <c r="G29" s="1">
        <v>30</v>
      </c>
    </row>
    <row r="30" spans="1:7">
      <c r="A30" s="4" t="s">
        <v>76</v>
      </c>
      <c r="B30" s="3" t="s">
        <v>76</v>
      </c>
      <c r="C30" s="3">
        <v>2</v>
      </c>
      <c r="D30" t="s">
        <v>7</v>
      </c>
      <c r="E30" s="3">
        <v>11</v>
      </c>
      <c r="F30" s="3" t="s">
        <v>173</v>
      </c>
      <c r="G30" s="1">
        <v>28</v>
      </c>
    </row>
    <row r="31" spans="1:7">
      <c r="A31" s="5" t="s">
        <v>76</v>
      </c>
      <c r="B31" s="3" t="s">
        <v>76</v>
      </c>
      <c r="C31" s="3">
        <v>2</v>
      </c>
      <c r="D31" t="s">
        <v>7</v>
      </c>
      <c r="E31" s="3">
        <v>11</v>
      </c>
      <c r="F31" s="3" t="s">
        <v>173</v>
      </c>
      <c r="G31" s="1">
        <v>30</v>
      </c>
    </row>
    <row r="32" spans="1:7" hidden="1">
      <c r="A32" s="5" t="s">
        <v>137</v>
      </c>
      <c r="B32" s="3" t="s">
        <v>137</v>
      </c>
      <c r="C32" s="3">
        <v>2</v>
      </c>
      <c r="D32" t="s">
        <v>16</v>
      </c>
      <c r="E32" s="3">
        <v>7</v>
      </c>
      <c r="F32" s="3" t="s">
        <v>172</v>
      </c>
      <c r="G32" s="1">
        <v>30</v>
      </c>
    </row>
    <row r="33" spans="1:7" hidden="1">
      <c r="A33" s="5" t="s">
        <v>137</v>
      </c>
      <c r="B33" s="3" t="s">
        <v>137</v>
      </c>
      <c r="C33" s="3">
        <v>2</v>
      </c>
      <c r="D33" t="s">
        <v>16</v>
      </c>
      <c r="E33" s="3">
        <v>7</v>
      </c>
      <c r="F33" s="3" t="s">
        <v>172</v>
      </c>
      <c r="G33" s="1">
        <v>30</v>
      </c>
    </row>
    <row r="34" spans="1:7" hidden="1">
      <c r="A34" s="5" t="s">
        <v>137</v>
      </c>
      <c r="B34" s="3" t="s">
        <v>137</v>
      </c>
      <c r="C34" s="3">
        <v>2</v>
      </c>
      <c r="D34" t="s">
        <v>16</v>
      </c>
      <c r="E34" s="3">
        <v>9</v>
      </c>
      <c r="F34" s="3" t="s">
        <v>174</v>
      </c>
      <c r="G34" s="1">
        <v>27</v>
      </c>
    </row>
    <row r="35" spans="1:7" hidden="1">
      <c r="A35" s="5" t="s">
        <v>137</v>
      </c>
      <c r="B35" s="3" t="s">
        <v>137</v>
      </c>
      <c r="C35" s="3">
        <v>2</v>
      </c>
      <c r="D35" t="s">
        <v>16</v>
      </c>
      <c r="E35" s="3">
        <v>9</v>
      </c>
      <c r="F35" s="3" t="s">
        <v>174</v>
      </c>
      <c r="G35" s="1">
        <v>28</v>
      </c>
    </row>
    <row r="36" spans="1:7">
      <c r="A36" s="4" t="s">
        <v>137</v>
      </c>
      <c r="B36" s="3" t="s">
        <v>137</v>
      </c>
      <c r="C36" s="3">
        <v>2</v>
      </c>
      <c r="D36" t="s">
        <v>7</v>
      </c>
      <c r="E36" s="3">
        <v>11</v>
      </c>
      <c r="F36" s="3" t="s">
        <v>173</v>
      </c>
      <c r="G36" s="1">
        <v>27</v>
      </c>
    </row>
    <row r="37" spans="1:7">
      <c r="A37" s="5" t="s">
        <v>168</v>
      </c>
      <c r="B37" s="3" t="s">
        <v>168</v>
      </c>
      <c r="C37" s="3">
        <v>2</v>
      </c>
      <c r="D37" t="s">
        <v>7</v>
      </c>
      <c r="E37" s="3">
        <v>11</v>
      </c>
      <c r="F37" s="3" t="s">
        <v>173</v>
      </c>
      <c r="G37" s="1">
        <v>1</v>
      </c>
    </row>
    <row r="38" spans="1:7" hidden="1">
      <c r="A38" s="5" t="s">
        <v>168</v>
      </c>
      <c r="B38" s="3" t="s">
        <v>169</v>
      </c>
      <c r="C38" s="3">
        <v>2</v>
      </c>
      <c r="D38" t="s">
        <v>8</v>
      </c>
      <c r="E38" s="3">
        <v>7</v>
      </c>
      <c r="F38" s="3" t="s">
        <v>172</v>
      </c>
      <c r="G38" s="1">
        <v>28</v>
      </c>
    </row>
    <row r="39" spans="1:7" hidden="1">
      <c r="A39" s="4" t="s">
        <v>168</v>
      </c>
      <c r="B39" s="3" t="s">
        <v>169</v>
      </c>
      <c r="C39" s="3">
        <v>2</v>
      </c>
      <c r="D39" t="s">
        <v>8</v>
      </c>
      <c r="E39" s="3">
        <v>9</v>
      </c>
      <c r="F39" s="3" t="s">
        <v>174</v>
      </c>
      <c r="G39" s="1">
        <v>29</v>
      </c>
    </row>
    <row r="40" spans="1:7" hidden="1">
      <c r="A40" s="5" t="s">
        <v>168</v>
      </c>
      <c r="B40" s="3" t="s">
        <v>170</v>
      </c>
      <c r="C40" s="3">
        <v>2</v>
      </c>
      <c r="D40" t="s">
        <v>8</v>
      </c>
      <c r="E40" s="3">
        <v>7</v>
      </c>
      <c r="F40" s="3" t="s">
        <v>172</v>
      </c>
      <c r="G40" s="1">
        <v>27</v>
      </c>
    </row>
    <row r="41" spans="1:7" hidden="1">
      <c r="A41" s="5" t="s">
        <v>168</v>
      </c>
      <c r="B41" s="3" t="s">
        <v>170</v>
      </c>
      <c r="C41" s="3">
        <v>2</v>
      </c>
      <c r="D41" t="s">
        <v>8</v>
      </c>
      <c r="E41" s="3">
        <v>9</v>
      </c>
      <c r="F41" s="3" t="s">
        <v>174</v>
      </c>
      <c r="G41" s="1">
        <v>27</v>
      </c>
    </row>
    <row r="42" spans="1:7" hidden="1">
      <c r="A42" s="5" t="s">
        <v>168</v>
      </c>
      <c r="B42" s="3" t="s">
        <v>170</v>
      </c>
      <c r="C42" s="3">
        <v>2</v>
      </c>
      <c r="D42" t="s">
        <v>8</v>
      </c>
      <c r="E42" s="3">
        <v>9</v>
      </c>
      <c r="F42" s="3" t="s">
        <v>174</v>
      </c>
      <c r="G42" s="1">
        <v>27</v>
      </c>
    </row>
    <row r="43" spans="1:7" hidden="1">
      <c r="A43" s="3" t="s">
        <v>10</v>
      </c>
      <c r="B43" s="3" t="s">
        <v>10</v>
      </c>
      <c r="C43" s="3">
        <v>3</v>
      </c>
      <c r="D43" t="s">
        <v>9</v>
      </c>
      <c r="E43" s="3">
        <v>7</v>
      </c>
      <c r="F43" s="3" t="s">
        <v>172</v>
      </c>
      <c r="G43" s="1">
        <v>29</v>
      </c>
    </row>
    <row r="44" spans="1:7" hidden="1">
      <c r="A44" s="4" t="s">
        <v>10</v>
      </c>
      <c r="B44" s="3" t="s">
        <v>10</v>
      </c>
      <c r="C44" s="3">
        <v>3</v>
      </c>
      <c r="D44" t="s">
        <v>9</v>
      </c>
      <c r="E44" s="3">
        <v>9</v>
      </c>
      <c r="F44" s="3" t="s">
        <v>174</v>
      </c>
      <c r="G44" s="1">
        <v>27</v>
      </c>
    </row>
    <row r="45" spans="1:7" hidden="1">
      <c r="A45" s="5" t="s">
        <v>10</v>
      </c>
      <c r="B45" s="3" t="s">
        <v>10</v>
      </c>
      <c r="C45" s="3">
        <v>3</v>
      </c>
      <c r="D45" t="s">
        <v>9</v>
      </c>
      <c r="E45" s="3">
        <v>9</v>
      </c>
      <c r="F45" s="3" t="s">
        <v>174</v>
      </c>
      <c r="G45" s="1">
        <v>1</v>
      </c>
    </row>
    <row r="46" spans="1:7" hidden="1">
      <c r="A46" s="3" t="s">
        <v>37</v>
      </c>
      <c r="B46" s="3" t="s">
        <v>37</v>
      </c>
      <c r="C46" s="3">
        <v>3</v>
      </c>
      <c r="D46" t="s">
        <v>8</v>
      </c>
      <c r="E46" s="3">
        <v>9</v>
      </c>
      <c r="F46" s="3" t="s">
        <v>174</v>
      </c>
      <c r="G46" s="1">
        <v>22</v>
      </c>
    </row>
    <row r="47" spans="1:7" hidden="1">
      <c r="A47" s="4" t="s">
        <v>37</v>
      </c>
      <c r="B47" s="3" t="s">
        <v>37</v>
      </c>
      <c r="C47" s="3">
        <v>3</v>
      </c>
      <c r="D47" t="s">
        <v>16</v>
      </c>
      <c r="E47" s="3">
        <v>7</v>
      </c>
      <c r="F47" s="3" t="s">
        <v>172</v>
      </c>
      <c r="G47" s="1">
        <v>29</v>
      </c>
    </row>
    <row r="48" spans="1:7" hidden="1">
      <c r="A48" s="5" t="s">
        <v>66</v>
      </c>
      <c r="B48" s="3" t="s">
        <v>66</v>
      </c>
      <c r="C48" s="3">
        <v>3</v>
      </c>
      <c r="D48" t="s">
        <v>8</v>
      </c>
      <c r="E48" s="3">
        <v>7</v>
      </c>
      <c r="F48" s="3" t="s">
        <v>172</v>
      </c>
      <c r="G48" s="1">
        <v>28</v>
      </c>
    </row>
    <row r="49" spans="1:7" hidden="1">
      <c r="A49" s="5" t="s">
        <v>66</v>
      </c>
      <c r="B49" s="3" t="s">
        <v>66</v>
      </c>
      <c r="C49" s="3">
        <v>3</v>
      </c>
      <c r="D49" t="s">
        <v>8</v>
      </c>
      <c r="E49" s="3">
        <v>9</v>
      </c>
      <c r="F49" s="3" t="s">
        <v>174</v>
      </c>
      <c r="G49" s="1">
        <v>30</v>
      </c>
    </row>
    <row r="50" spans="1:7">
      <c r="A50" s="5" t="s">
        <v>66</v>
      </c>
      <c r="B50" s="3" t="s">
        <v>66</v>
      </c>
      <c r="C50" s="3">
        <v>3</v>
      </c>
      <c r="D50" t="s">
        <v>8</v>
      </c>
      <c r="E50" s="3">
        <v>11</v>
      </c>
      <c r="F50" s="3" t="s">
        <v>173</v>
      </c>
      <c r="G50" s="1">
        <v>21</v>
      </c>
    </row>
    <row r="51" spans="1:7" hidden="1">
      <c r="A51" s="5" t="s">
        <v>82</v>
      </c>
      <c r="B51" s="3" t="s">
        <v>82</v>
      </c>
      <c r="C51" s="3">
        <v>3</v>
      </c>
      <c r="D51" t="s">
        <v>16</v>
      </c>
      <c r="E51" s="3">
        <v>7</v>
      </c>
      <c r="F51" s="3" t="s">
        <v>172</v>
      </c>
      <c r="G51" s="1">
        <v>19</v>
      </c>
    </row>
    <row r="52" spans="1:7" hidden="1">
      <c r="A52" s="4" t="s">
        <v>82</v>
      </c>
      <c r="B52" s="3" t="s">
        <v>82</v>
      </c>
      <c r="C52" s="3">
        <v>3</v>
      </c>
      <c r="D52" t="s">
        <v>16</v>
      </c>
      <c r="E52" s="3">
        <v>7</v>
      </c>
      <c r="F52" s="3" t="s">
        <v>172</v>
      </c>
      <c r="G52" s="1">
        <v>19</v>
      </c>
    </row>
    <row r="53" spans="1:7" hidden="1">
      <c r="A53" s="5" t="s">
        <v>82</v>
      </c>
      <c r="B53" s="3" t="s">
        <v>82</v>
      </c>
      <c r="C53" s="3">
        <v>3</v>
      </c>
      <c r="D53" t="s">
        <v>16</v>
      </c>
      <c r="E53" s="3">
        <v>9</v>
      </c>
      <c r="F53" s="3" t="s">
        <v>174</v>
      </c>
      <c r="G53" s="1">
        <v>22</v>
      </c>
    </row>
    <row r="54" spans="1:7">
      <c r="A54" s="4" t="s">
        <v>95</v>
      </c>
      <c r="B54" s="3" t="s">
        <v>95</v>
      </c>
      <c r="C54" s="3">
        <v>3</v>
      </c>
      <c r="D54" t="s">
        <v>8</v>
      </c>
      <c r="E54" s="3">
        <v>11</v>
      </c>
      <c r="F54" s="3" t="s">
        <v>173</v>
      </c>
      <c r="G54" s="1">
        <v>23</v>
      </c>
    </row>
    <row r="55" spans="1:7" hidden="1">
      <c r="A55" s="4" t="s">
        <v>101</v>
      </c>
      <c r="B55" s="3" t="s">
        <v>101</v>
      </c>
      <c r="C55" s="3">
        <v>3</v>
      </c>
      <c r="D55" t="s">
        <v>8</v>
      </c>
      <c r="E55" s="3">
        <v>7</v>
      </c>
      <c r="F55" s="3" t="s">
        <v>172</v>
      </c>
      <c r="G55" s="1">
        <v>28</v>
      </c>
    </row>
    <row r="56" spans="1:7" hidden="1">
      <c r="A56" s="5" t="s">
        <v>101</v>
      </c>
      <c r="B56" s="3" t="s">
        <v>101</v>
      </c>
      <c r="C56" s="3">
        <v>3</v>
      </c>
      <c r="D56" t="s">
        <v>8</v>
      </c>
      <c r="E56" s="3">
        <v>7</v>
      </c>
      <c r="F56" s="3" t="s">
        <v>172</v>
      </c>
      <c r="G56" s="1">
        <v>27</v>
      </c>
    </row>
    <row r="57" spans="1:7" hidden="1">
      <c r="A57" s="5" t="s">
        <v>101</v>
      </c>
      <c r="B57" s="3" t="s">
        <v>101</v>
      </c>
      <c r="C57" s="3">
        <v>3</v>
      </c>
      <c r="D57" t="s">
        <v>16</v>
      </c>
      <c r="E57" s="3">
        <v>9</v>
      </c>
      <c r="F57" s="3" t="s">
        <v>174</v>
      </c>
      <c r="G57" s="1">
        <v>29</v>
      </c>
    </row>
    <row r="58" spans="1:7" hidden="1">
      <c r="A58" s="4" t="s">
        <v>101</v>
      </c>
      <c r="B58" s="3" t="s">
        <v>101</v>
      </c>
      <c r="C58" s="3">
        <v>3</v>
      </c>
      <c r="D58" t="s">
        <v>16</v>
      </c>
      <c r="E58" s="3">
        <v>9</v>
      </c>
      <c r="F58" s="3" t="s">
        <v>174</v>
      </c>
      <c r="G58" s="1">
        <v>30</v>
      </c>
    </row>
    <row r="59" spans="1:7">
      <c r="A59" s="4" t="s">
        <v>101</v>
      </c>
      <c r="B59" s="3" t="s">
        <v>101</v>
      </c>
      <c r="C59" s="3">
        <v>3</v>
      </c>
      <c r="D59" t="s">
        <v>7</v>
      </c>
      <c r="E59" s="3">
        <v>11</v>
      </c>
      <c r="F59" s="3" t="s">
        <v>173</v>
      </c>
      <c r="G59" s="1">
        <v>22</v>
      </c>
    </row>
    <row r="60" spans="1:7" hidden="1">
      <c r="A60" s="5" t="s">
        <v>134</v>
      </c>
      <c r="B60" s="3" t="s">
        <v>134</v>
      </c>
      <c r="C60" s="3">
        <v>3</v>
      </c>
      <c r="D60" t="s">
        <v>8</v>
      </c>
      <c r="E60" s="3">
        <v>7</v>
      </c>
      <c r="F60" s="3" t="s">
        <v>172</v>
      </c>
      <c r="G60" s="1">
        <v>24</v>
      </c>
    </row>
    <row r="61" spans="1:7" hidden="1">
      <c r="A61" s="5" t="s">
        <v>146</v>
      </c>
      <c r="B61" s="3" t="s">
        <v>146</v>
      </c>
      <c r="C61" s="3">
        <v>3</v>
      </c>
      <c r="D61" t="s">
        <v>8</v>
      </c>
      <c r="E61" s="3">
        <v>7</v>
      </c>
      <c r="F61" s="3" t="s">
        <v>172</v>
      </c>
      <c r="G61" s="1">
        <v>29</v>
      </c>
    </row>
    <row r="62" spans="1:7" hidden="1">
      <c r="A62" s="4" t="s">
        <v>146</v>
      </c>
      <c r="B62" s="3" t="s">
        <v>146</v>
      </c>
      <c r="C62" s="3">
        <v>3</v>
      </c>
      <c r="D62" t="s">
        <v>8</v>
      </c>
      <c r="E62" s="3">
        <v>7</v>
      </c>
      <c r="F62" s="3" t="s">
        <v>172</v>
      </c>
      <c r="G62" s="1">
        <v>30</v>
      </c>
    </row>
    <row r="63" spans="1:7" hidden="1">
      <c r="A63" s="5" t="s">
        <v>146</v>
      </c>
      <c r="B63" s="3" t="s">
        <v>146</v>
      </c>
      <c r="C63" s="3">
        <v>3</v>
      </c>
      <c r="D63" t="s">
        <v>8</v>
      </c>
      <c r="E63" s="3">
        <v>9</v>
      </c>
      <c r="F63" s="3" t="s">
        <v>174</v>
      </c>
      <c r="G63" s="1">
        <v>30</v>
      </c>
    </row>
    <row r="64" spans="1:7" hidden="1">
      <c r="A64" s="5" t="s">
        <v>154</v>
      </c>
      <c r="B64" s="3" t="s">
        <v>154</v>
      </c>
      <c r="C64" s="3">
        <v>3</v>
      </c>
      <c r="D64" t="s">
        <v>16</v>
      </c>
      <c r="E64" s="3">
        <v>9</v>
      </c>
      <c r="F64" s="3" t="s">
        <v>174</v>
      </c>
      <c r="G64" s="1">
        <v>32</v>
      </c>
    </row>
    <row r="65" spans="1:7" hidden="1">
      <c r="A65" s="4" t="s">
        <v>158</v>
      </c>
      <c r="B65" s="3" t="s">
        <v>158</v>
      </c>
      <c r="C65" s="3">
        <v>3</v>
      </c>
      <c r="D65" t="s">
        <v>8</v>
      </c>
      <c r="E65" s="3">
        <v>7</v>
      </c>
      <c r="F65" s="3" t="s">
        <v>172</v>
      </c>
      <c r="G65" s="1">
        <v>25</v>
      </c>
    </row>
    <row r="66" spans="1:7" hidden="1">
      <c r="A66" s="5" t="s">
        <v>158</v>
      </c>
      <c r="B66" s="3" t="s">
        <v>158</v>
      </c>
      <c r="C66" s="3">
        <v>3</v>
      </c>
      <c r="D66" t="s">
        <v>8</v>
      </c>
      <c r="E66" s="3">
        <v>9</v>
      </c>
      <c r="F66" s="3" t="s">
        <v>174</v>
      </c>
      <c r="G66" s="1">
        <v>19</v>
      </c>
    </row>
    <row r="67" spans="1:7" hidden="1">
      <c r="A67" s="3" t="s">
        <v>24</v>
      </c>
      <c r="B67" s="3" t="s">
        <v>24</v>
      </c>
      <c r="C67" s="3">
        <v>4</v>
      </c>
      <c r="D67" t="s">
        <v>8</v>
      </c>
      <c r="E67" s="3">
        <v>9</v>
      </c>
      <c r="F67" s="3" t="s">
        <v>174</v>
      </c>
      <c r="G67" s="1">
        <v>23</v>
      </c>
    </row>
    <row r="68" spans="1:7" hidden="1">
      <c r="A68" s="4" t="s">
        <v>24</v>
      </c>
      <c r="B68" s="3" t="s">
        <v>24</v>
      </c>
      <c r="C68" s="3">
        <v>4</v>
      </c>
      <c r="D68" t="s">
        <v>8</v>
      </c>
      <c r="E68" s="3">
        <v>9</v>
      </c>
      <c r="F68" s="3" t="s">
        <v>174</v>
      </c>
      <c r="G68" s="1">
        <v>26</v>
      </c>
    </row>
    <row r="69" spans="1:7" hidden="1">
      <c r="A69" s="3" t="s">
        <v>24</v>
      </c>
      <c r="B69" s="3" t="s">
        <v>24</v>
      </c>
      <c r="C69" s="3">
        <v>4</v>
      </c>
      <c r="D69" t="s">
        <v>8</v>
      </c>
      <c r="E69" s="3">
        <v>9</v>
      </c>
      <c r="F69" s="3" t="s">
        <v>174</v>
      </c>
      <c r="G69" s="1">
        <v>24</v>
      </c>
    </row>
    <row r="70" spans="1:7" hidden="1">
      <c r="A70" s="3" t="s">
        <v>24</v>
      </c>
      <c r="B70" s="3" t="s">
        <v>24</v>
      </c>
      <c r="C70" s="3">
        <v>4</v>
      </c>
      <c r="D70" t="s">
        <v>16</v>
      </c>
      <c r="E70" s="3">
        <v>7</v>
      </c>
      <c r="F70" s="3" t="s">
        <v>172</v>
      </c>
      <c r="G70" s="1">
        <v>24</v>
      </c>
    </row>
    <row r="71" spans="1:7" hidden="1">
      <c r="A71" s="3" t="s">
        <v>24</v>
      </c>
      <c r="B71" s="3" t="s">
        <v>24</v>
      </c>
      <c r="C71" s="3">
        <v>4</v>
      </c>
      <c r="D71" t="s">
        <v>16</v>
      </c>
      <c r="E71" s="3">
        <v>7</v>
      </c>
      <c r="F71" s="3" t="s">
        <v>172</v>
      </c>
      <c r="G71" s="1">
        <v>23</v>
      </c>
    </row>
    <row r="72" spans="1:7" hidden="1">
      <c r="A72" s="3" t="s">
        <v>24</v>
      </c>
      <c r="B72" s="3" t="s">
        <v>24</v>
      </c>
      <c r="C72" s="3">
        <v>4</v>
      </c>
      <c r="D72" t="s">
        <v>16</v>
      </c>
      <c r="E72" s="3">
        <v>7</v>
      </c>
      <c r="F72" s="3" t="s">
        <v>172</v>
      </c>
      <c r="G72" s="1">
        <v>24</v>
      </c>
    </row>
    <row r="73" spans="1:7">
      <c r="A73" s="4" t="s">
        <v>24</v>
      </c>
      <c r="B73" s="3" t="s">
        <v>24</v>
      </c>
      <c r="C73" s="3">
        <v>4</v>
      </c>
      <c r="D73" t="s">
        <v>7</v>
      </c>
      <c r="E73" s="3">
        <v>11</v>
      </c>
      <c r="F73" s="3" t="s">
        <v>173</v>
      </c>
      <c r="G73" s="1">
        <v>28</v>
      </c>
    </row>
    <row r="74" spans="1:7" hidden="1">
      <c r="A74" s="4" t="s">
        <v>69</v>
      </c>
      <c r="B74" s="3" t="s">
        <v>69</v>
      </c>
      <c r="C74" s="3">
        <v>4</v>
      </c>
      <c r="D74" t="s">
        <v>16</v>
      </c>
      <c r="E74" s="3">
        <v>7</v>
      </c>
      <c r="F74" s="3" t="s">
        <v>172</v>
      </c>
      <c r="G74" s="1">
        <v>28</v>
      </c>
    </row>
    <row r="75" spans="1:7" hidden="1">
      <c r="A75" s="5" t="s">
        <v>69</v>
      </c>
      <c r="B75" s="3" t="s">
        <v>69</v>
      </c>
      <c r="C75" s="3">
        <v>4</v>
      </c>
      <c r="D75" t="s">
        <v>16</v>
      </c>
      <c r="E75" s="3">
        <v>7</v>
      </c>
      <c r="F75" s="3" t="s">
        <v>172</v>
      </c>
      <c r="G75" s="1">
        <v>20</v>
      </c>
    </row>
    <row r="76" spans="1:7" hidden="1">
      <c r="A76" s="4" t="s">
        <v>69</v>
      </c>
      <c r="B76" s="3" t="s">
        <v>69</v>
      </c>
      <c r="C76" s="3">
        <v>4</v>
      </c>
      <c r="D76" t="s">
        <v>16</v>
      </c>
      <c r="E76" s="3">
        <v>7</v>
      </c>
      <c r="F76" s="3" t="s">
        <v>172</v>
      </c>
      <c r="G76" s="1">
        <v>24</v>
      </c>
    </row>
    <row r="77" spans="1:7" hidden="1">
      <c r="A77" s="5" t="s">
        <v>69</v>
      </c>
      <c r="B77" s="3" t="s">
        <v>69</v>
      </c>
      <c r="C77" s="3">
        <v>4</v>
      </c>
      <c r="D77" t="s">
        <v>16</v>
      </c>
      <c r="E77" s="3">
        <v>7</v>
      </c>
      <c r="F77" s="3" t="s">
        <v>172</v>
      </c>
      <c r="G77" s="1">
        <v>29</v>
      </c>
    </row>
    <row r="78" spans="1:7" hidden="1">
      <c r="A78" s="5" t="s">
        <v>69</v>
      </c>
      <c r="B78" s="3" t="s">
        <v>69</v>
      </c>
      <c r="C78" s="3">
        <v>4</v>
      </c>
      <c r="D78" t="s">
        <v>16</v>
      </c>
      <c r="E78" s="3">
        <v>9</v>
      </c>
      <c r="F78" s="3" t="s">
        <v>174</v>
      </c>
      <c r="G78" s="1">
        <v>27</v>
      </c>
    </row>
    <row r="79" spans="1:7" hidden="1">
      <c r="A79" s="5" t="s">
        <v>69</v>
      </c>
      <c r="B79" s="3" t="s">
        <v>69</v>
      </c>
      <c r="C79" s="3">
        <v>4</v>
      </c>
      <c r="D79" t="s">
        <v>16</v>
      </c>
      <c r="E79" s="3">
        <v>9</v>
      </c>
      <c r="F79" s="3" t="s">
        <v>174</v>
      </c>
      <c r="G79" s="1">
        <v>28</v>
      </c>
    </row>
    <row r="80" spans="1:7" hidden="1">
      <c r="A80" s="4" t="s">
        <v>69</v>
      </c>
      <c r="B80" s="3" t="s">
        <v>69</v>
      </c>
      <c r="C80" s="3">
        <v>4</v>
      </c>
      <c r="D80" t="s">
        <v>16</v>
      </c>
      <c r="E80" s="3">
        <v>9</v>
      </c>
      <c r="F80" s="3" t="s">
        <v>174</v>
      </c>
      <c r="G80" s="1">
        <v>29</v>
      </c>
    </row>
    <row r="81" spans="1:7">
      <c r="A81" s="5" t="s">
        <v>69</v>
      </c>
      <c r="B81" s="3" t="s">
        <v>69</v>
      </c>
      <c r="C81" s="3">
        <v>4</v>
      </c>
      <c r="D81" t="s">
        <v>16</v>
      </c>
      <c r="E81" s="3">
        <v>11</v>
      </c>
      <c r="F81" s="3" t="s">
        <v>173</v>
      </c>
      <c r="G81" s="1">
        <v>19</v>
      </c>
    </row>
    <row r="82" spans="1:7">
      <c r="A82" s="5" t="s">
        <v>69</v>
      </c>
      <c r="B82" s="3" t="s">
        <v>69</v>
      </c>
      <c r="C82" s="3">
        <v>4</v>
      </c>
      <c r="D82" t="s">
        <v>16</v>
      </c>
      <c r="E82" s="3">
        <v>11</v>
      </c>
      <c r="F82" s="3" t="s">
        <v>173</v>
      </c>
      <c r="G82" s="1">
        <v>24</v>
      </c>
    </row>
    <row r="83" spans="1:7" hidden="1">
      <c r="A83" s="4" t="s">
        <v>79</v>
      </c>
      <c r="B83" s="3" t="s">
        <v>79</v>
      </c>
      <c r="C83" s="3">
        <v>4</v>
      </c>
      <c r="D83" t="s">
        <v>8</v>
      </c>
      <c r="E83" s="3">
        <v>7</v>
      </c>
      <c r="F83" s="3" t="s">
        <v>172</v>
      </c>
      <c r="G83" s="1">
        <v>27</v>
      </c>
    </row>
    <row r="84" spans="1:7" hidden="1">
      <c r="A84" s="5" t="s">
        <v>79</v>
      </c>
      <c r="B84" s="3" t="s">
        <v>79</v>
      </c>
      <c r="C84" s="3">
        <v>4</v>
      </c>
      <c r="D84" t="s">
        <v>8</v>
      </c>
      <c r="E84" s="3">
        <v>9</v>
      </c>
      <c r="F84" s="3" t="s">
        <v>174</v>
      </c>
      <c r="G84" s="1">
        <v>23</v>
      </c>
    </row>
    <row r="85" spans="1:7" hidden="1">
      <c r="A85" s="5" t="s">
        <v>98</v>
      </c>
      <c r="B85" s="3" t="s">
        <v>98</v>
      </c>
      <c r="C85" s="3">
        <v>4</v>
      </c>
      <c r="D85" t="s">
        <v>8</v>
      </c>
      <c r="E85" s="3">
        <v>7</v>
      </c>
      <c r="F85" s="3" t="s">
        <v>172</v>
      </c>
      <c r="G85" s="1">
        <v>28</v>
      </c>
    </row>
    <row r="86" spans="1:7" hidden="1">
      <c r="A86" s="5" t="s">
        <v>98</v>
      </c>
      <c r="B86" s="3" t="s">
        <v>98</v>
      </c>
      <c r="C86" s="3">
        <v>4</v>
      </c>
      <c r="D86" t="s">
        <v>16</v>
      </c>
      <c r="E86" s="3">
        <v>7</v>
      </c>
      <c r="F86" s="3" t="s">
        <v>172</v>
      </c>
      <c r="G86" s="1">
        <v>28</v>
      </c>
    </row>
    <row r="87" spans="1:7" hidden="1">
      <c r="A87" s="5" t="s">
        <v>120</v>
      </c>
      <c r="B87" s="3" t="s">
        <v>120</v>
      </c>
      <c r="C87" s="3">
        <v>4</v>
      </c>
      <c r="D87" t="s">
        <v>8</v>
      </c>
      <c r="E87" s="3">
        <v>9</v>
      </c>
      <c r="F87" s="3" t="s">
        <v>174</v>
      </c>
      <c r="G87" s="1">
        <v>31</v>
      </c>
    </row>
    <row r="88" spans="1:7">
      <c r="A88" s="5" t="s">
        <v>120</v>
      </c>
      <c r="B88" s="3" t="s">
        <v>120</v>
      </c>
      <c r="C88" s="3">
        <v>4</v>
      </c>
      <c r="D88" t="s">
        <v>8</v>
      </c>
      <c r="E88" s="3">
        <v>11</v>
      </c>
      <c r="F88" s="3" t="s">
        <v>173</v>
      </c>
      <c r="G88" s="1">
        <v>26</v>
      </c>
    </row>
    <row r="89" spans="1:7" hidden="1">
      <c r="A89" s="5" t="s">
        <v>120</v>
      </c>
      <c r="B89" s="3" t="s">
        <v>120</v>
      </c>
      <c r="C89" s="3">
        <v>4</v>
      </c>
      <c r="D89" t="s">
        <v>16</v>
      </c>
      <c r="E89" s="3">
        <v>7</v>
      </c>
      <c r="F89" s="3" t="s">
        <v>172</v>
      </c>
      <c r="G89" s="1">
        <v>24</v>
      </c>
    </row>
    <row r="90" spans="1:7" hidden="1">
      <c r="A90" s="5" t="s">
        <v>120</v>
      </c>
      <c r="B90" s="3" t="s">
        <v>120</v>
      </c>
      <c r="C90" s="3">
        <v>4</v>
      </c>
      <c r="D90" t="s">
        <v>16</v>
      </c>
      <c r="E90" s="3">
        <v>7</v>
      </c>
      <c r="F90" s="3" t="s">
        <v>172</v>
      </c>
      <c r="G90" s="1">
        <v>25</v>
      </c>
    </row>
    <row r="91" spans="1:7" hidden="1">
      <c r="A91" s="5" t="s">
        <v>130</v>
      </c>
      <c r="B91" s="3" t="s">
        <v>130</v>
      </c>
      <c r="C91" s="3">
        <v>4</v>
      </c>
      <c r="D91" t="s">
        <v>8</v>
      </c>
      <c r="E91" s="3">
        <v>7</v>
      </c>
      <c r="F91" s="3" t="s">
        <v>172</v>
      </c>
      <c r="G91" s="1">
        <v>30</v>
      </c>
    </row>
    <row r="92" spans="1:7" hidden="1">
      <c r="A92" s="4" t="s">
        <v>130</v>
      </c>
      <c r="B92" s="3" t="s">
        <v>130</v>
      </c>
      <c r="C92" s="3">
        <v>4</v>
      </c>
      <c r="D92" t="s">
        <v>8</v>
      </c>
      <c r="E92" s="3">
        <v>9</v>
      </c>
      <c r="F92" s="3" t="s">
        <v>174</v>
      </c>
      <c r="G92" s="1">
        <v>30</v>
      </c>
    </row>
    <row r="93" spans="1:7">
      <c r="A93" s="5" t="s">
        <v>130</v>
      </c>
      <c r="B93" s="3" t="s">
        <v>130</v>
      </c>
      <c r="C93" s="3">
        <v>4</v>
      </c>
      <c r="D93" t="s">
        <v>8</v>
      </c>
      <c r="E93" s="3">
        <v>11</v>
      </c>
      <c r="F93" s="3" t="s">
        <v>173</v>
      </c>
      <c r="G93" s="1">
        <v>27</v>
      </c>
    </row>
    <row r="94" spans="1:7">
      <c r="A94" s="5" t="s">
        <v>130</v>
      </c>
      <c r="B94" s="3" t="s">
        <v>130</v>
      </c>
      <c r="C94" s="3">
        <v>4</v>
      </c>
      <c r="D94" t="s">
        <v>8</v>
      </c>
      <c r="E94" s="3">
        <v>11</v>
      </c>
      <c r="F94" s="3" t="s">
        <v>173</v>
      </c>
      <c r="G94" s="1">
        <v>23</v>
      </c>
    </row>
    <row r="95" spans="1:7" hidden="1">
      <c r="A95" s="5" t="s">
        <v>130</v>
      </c>
      <c r="B95" s="3" t="s">
        <v>130</v>
      </c>
      <c r="C95" s="3">
        <v>4</v>
      </c>
      <c r="D95" t="s">
        <v>16</v>
      </c>
      <c r="E95" s="3">
        <v>7</v>
      </c>
      <c r="F95" s="3" t="s">
        <v>172</v>
      </c>
      <c r="G95" s="1">
        <v>29</v>
      </c>
    </row>
    <row r="96" spans="1:7" hidden="1">
      <c r="A96" s="3" t="s">
        <v>19</v>
      </c>
      <c r="B96" s="3" t="s">
        <v>19</v>
      </c>
      <c r="C96" s="3">
        <v>5</v>
      </c>
      <c r="D96" t="s">
        <v>7</v>
      </c>
      <c r="E96" s="3">
        <v>7</v>
      </c>
      <c r="F96" s="3" t="s">
        <v>172</v>
      </c>
      <c r="G96" s="1">
        <v>15</v>
      </c>
    </row>
    <row r="97" spans="1:7" hidden="1">
      <c r="A97" s="4" t="s">
        <v>19</v>
      </c>
      <c r="B97" s="3" t="s">
        <v>19</v>
      </c>
      <c r="C97" s="3">
        <v>5</v>
      </c>
      <c r="D97" t="s">
        <v>7</v>
      </c>
      <c r="E97" s="3">
        <v>9</v>
      </c>
      <c r="F97" s="3" t="s">
        <v>174</v>
      </c>
      <c r="G97" s="1">
        <v>19</v>
      </c>
    </row>
    <row r="98" spans="1:7">
      <c r="A98" s="5" t="s">
        <v>19</v>
      </c>
      <c r="B98" s="3" t="s">
        <v>20</v>
      </c>
      <c r="C98" s="3">
        <v>5</v>
      </c>
      <c r="D98" t="s">
        <v>7</v>
      </c>
      <c r="E98" s="3">
        <v>11</v>
      </c>
      <c r="F98" s="3" t="s">
        <v>173</v>
      </c>
      <c r="G98" s="1">
        <v>10</v>
      </c>
    </row>
    <row r="99" spans="1:7" hidden="1">
      <c r="A99" s="4" t="s">
        <v>25</v>
      </c>
      <c r="B99" s="3" t="s">
        <v>25</v>
      </c>
      <c r="C99" s="3">
        <v>5</v>
      </c>
      <c r="D99" t="s">
        <v>8</v>
      </c>
      <c r="E99" s="3">
        <v>7</v>
      </c>
      <c r="F99" s="3" t="s">
        <v>172</v>
      </c>
      <c r="G99" s="1">
        <v>29</v>
      </c>
    </row>
    <row r="100" spans="1:7" hidden="1">
      <c r="A100" s="5" t="s">
        <v>25</v>
      </c>
      <c r="B100" s="3" t="s">
        <v>25</v>
      </c>
      <c r="C100" s="3">
        <v>5</v>
      </c>
      <c r="D100" t="s">
        <v>8</v>
      </c>
      <c r="E100" s="3">
        <v>9</v>
      </c>
      <c r="F100" s="3" t="s">
        <v>174</v>
      </c>
      <c r="G100" s="1">
        <v>15</v>
      </c>
    </row>
    <row r="101" spans="1:7" hidden="1">
      <c r="A101" s="5" t="s">
        <v>50</v>
      </c>
      <c r="B101" s="3" t="s">
        <v>50</v>
      </c>
      <c r="C101" s="3">
        <v>5</v>
      </c>
      <c r="D101" t="s">
        <v>8</v>
      </c>
      <c r="E101" s="3">
        <v>9</v>
      </c>
      <c r="F101" s="3" t="s">
        <v>174</v>
      </c>
      <c r="G101" s="1">
        <v>29</v>
      </c>
    </row>
    <row r="102" spans="1:7" hidden="1">
      <c r="A102" s="5" t="s">
        <v>50</v>
      </c>
      <c r="B102" s="3" t="s">
        <v>50</v>
      </c>
      <c r="C102" s="3">
        <v>5</v>
      </c>
      <c r="D102" t="s">
        <v>8</v>
      </c>
      <c r="E102" s="3">
        <v>9</v>
      </c>
      <c r="F102" s="3" t="s">
        <v>174</v>
      </c>
      <c r="G102" s="1">
        <v>29</v>
      </c>
    </row>
    <row r="103" spans="1:7" hidden="1">
      <c r="A103" s="5" t="s">
        <v>50</v>
      </c>
      <c r="B103" s="3" t="s">
        <v>50</v>
      </c>
      <c r="C103" s="3">
        <v>5</v>
      </c>
      <c r="D103" t="s">
        <v>8</v>
      </c>
      <c r="E103" s="3">
        <v>9</v>
      </c>
      <c r="F103" s="3" t="s">
        <v>174</v>
      </c>
      <c r="G103" s="1">
        <v>29</v>
      </c>
    </row>
    <row r="104" spans="1:7" hidden="1">
      <c r="A104" s="5" t="s">
        <v>50</v>
      </c>
      <c r="B104" s="3" t="s">
        <v>50</v>
      </c>
      <c r="C104" s="3">
        <v>5</v>
      </c>
      <c r="D104" t="s">
        <v>16</v>
      </c>
      <c r="E104" s="3">
        <v>7</v>
      </c>
      <c r="F104" s="3" t="s">
        <v>172</v>
      </c>
      <c r="G104" s="1">
        <v>29</v>
      </c>
    </row>
    <row r="105" spans="1:7" hidden="1">
      <c r="A105" s="5" t="s">
        <v>50</v>
      </c>
      <c r="B105" s="3" t="s">
        <v>50</v>
      </c>
      <c r="C105" s="3">
        <v>5</v>
      </c>
      <c r="D105" t="s">
        <v>16</v>
      </c>
      <c r="E105" s="3">
        <v>7</v>
      </c>
      <c r="F105" s="3" t="s">
        <v>172</v>
      </c>
      <c r="G105" s="1">
        <v>29</v>
      </c>
    </row>
    <row r="106" spans="1:7" hidden="1">
      <c r="A106" s="5" t="s">
        <v>52</v>
      </c>
      <c r="B106" s="3" t="s">
        <v>53</v>
      </c>
      <c r="C106" s="3">
        <v>5</v>
      </c>
      <c r="D106" t="s">
        <v>8</v>
      </c>
      <c r="E106" s="3">
        <v>7</v>
      </c>
      <c r="F106" s="3" t="s">
        <v>172</v>
      </c>
      <c r="G106" s="1">
        <v>23</v>
      </c>
    </row>
    <row r="107" spans="1:7" hidden="1">
      <c r="A107" s="4" t="s">
        <v>140</v>
      </c>
      <c r="B107" s="3" t="s">
        <v>140</v>
      </c>
      <c r="C107" s="3">
        <v>5</v>
      </c>
      <c r="D107" t="s">
        <v>8</v>
      </c>
      <c r="E107" s="3">
        <v>7</v>
      </c>
      <c r="F107" s="3" t="s">
        <v>172</v>
      </c>
      <c r="G107" s="1">
        <v>29</v>
      </c>
    </row>
    <row r="108" spans="1:7" hidden="1">
      <c r="A108" s="5" t="s">
        <v>140</v>
      </c>
      <c r="B108" s="3" t="s">
        <v>140</v>
      </c>
      <c r="C108" s="3">
        <v>5</v>
      </c>
      <c r="D108" t="s">
        <v>8</v>
      </c>
      <c r="E108" s="3">
        <v>9</v>
      </c>
      <c r="F108" s="3" t="s">
        <v>174</v>
      </c>
      <c r="G108" s="1">
        <v>23</v>
      </c>
    </row>
    <row r="109" spans="1:7" hidden="1">
      <c r="A109" s="4" t="s">
        <v>140</v>
      </c>
      <c r="B109" s="3" t="s">
        <v>140</v>
      </c>
      <c r="C109" s="3">
        <v>5</v>
      </c>
      <c r="D109" t="s">
        <v>8</v>
      </c>
      <c r="E109" s="3">
        <v>9</v>
      </c>
      <c r="F109" s="3" t="s">
        <v>174</v>
      </c>
      <c r="G109" s="1">
        <v>21</v>
      </c>
    </row>
    <row r="110" spans="1:7">
      <c r="A110" s="5" t="s">
        <v>140</v>
      </c>
      <c r="B110" s="3" t="s">
        <v>140</v>
      </c>
      <c r="C110" s="3">
        <v>5</v>
      </c>
      <c r="D110" t="s">
        <v>7</v>
      </c>
      <c r="E110" s="3">
        <v>11</v>
      </c>
      <c r="F110" s="3" t="s">
        <v>173</v>
      </c>
      <c r="G110" s="1">
        <v>17</v>
      </c>
    </row>
    <row r="111" spans="1:7" hidden="1">
      <c r="A111" s="5" t="s">
        <v>149</v>
      </c>
      <c r="B111" s="3" t="s">
        <v>149</v>
      </c>
      <c r="C111" s="3">
        <v>5</v>
      </c>
      <c r="D111" t="s">
        <v>8</v>
      </c>
      <c r="E111" s="3">
        <v>7</v>
      </c>
      <c r="F111" s="3" t="s">
        <v>172</v>
      </c>
      <c r="G111" s="1">
        <v>29</v>
      </c>
    </row>
    <row r="112" spans="1:7" hidden="1">
      <c r="A112" s="4" t="s">
        <v>149</v>
      </c>
      <c r="B112" s="3" t="s">
        <v>149</v>
      </c>
      <c r="C112" s="3">
        <v>5</v>
      </c>
      <c r="D112" t="s">
        <v>8</v>
      </c>
      <c r="E112" s="3">
        <v>7</v>
      </c>
      <c r="F112" s="3" t="s">
        <v>172</v>
      </c>
      <c r="G112" s="1">
        <v>28</v>
      </c>
    </row>
    <row r="113" spans="1:7" hidden="1">
      <c r="A113" s="5" t="s">
        <v>149</v>
      </c>
      <c r="B113" s="3" t="s">
        <v>149</v>
      </c>
      <c r="C113" s="3">
        <v>5</v>
      </c>
      <c r="D113" t="s">
        <v>8</v>
      </c>
      <c r="E113" s="3">
        <v>9</v>
      </c>
      <c r="F113" s="3" t="s">
        <v>174</v>
      </c>
      <c r="G113" s="1">
        <v>22</v>
      </c>
    </row>
    <row r="114" spans="1:7" hidden="1">
      <c r="A114" s="5" t="s">
        <v>149</v>
      </c>
      <c r="B114" s="3" t="s">
        <v>149</v>
      </c>
      <c r="C114" s="3">
        <v>5</v>
      </c>
      <c r="D114" t="s">
        <v>8</v>
      </c>
      <c r="E114" s="3">
        <v>9</v>
      </c>
      <c r="F114" s="3" t="s">
        <v>174</v>
      </c>
      <c r="G114" s="1">
        <v>22</v>
      </c>
    </row>
    <row r="115" spans="1:7">
      <c r="A115" s="5" t="s">
        <v>149</v>
      </c>
      <c r="B115" s="3" t="s">
        <v>149</v>
      </c>
      <c r="C115" s="3">
        <v>5</v>
      </c>
      <c r="D115" t="s">
        <v>8</v>
      </c>
      <c r="E115" s="3">
        <v>11</v>
      </c>
      <c r="F115" s="3" t="s">
        <v>173</v>
      </c>
      <c r="G115" s="1">
        <v>20</v>
      </c>
    </row>
    <row r="116" spans="1:7">
      <c r="A116" s="5" t="s">
        <v>149</v>
      </c>
      <c r="B116" s="3" t="s">
        <v>149</v>
      </c>
      <c r="C116" s="3">
        <v>5</v>
      </c>
      <c r="D116" t="s">
        <v>7</v>
      </c>
      <c r="E116" s="3">
        <v>11</v>
      </c>
      <c r="F116" s="3" t="s">
        <v>173</v>
      </c>
      <c r="G116" s="1">
        <v>21</v>
      </c>
    </row>
    <row r="117" spans="1:7" hidden="1">
      <c r="A117" s="5" t="s">
        <v>153</v>
      </c>
      <c r="B117" s="3" t="s">
        <v>153</v>
      </c>
      <c r="C117" s="3">
        <v>5</v>
      </c>
      <c r="D117" t="s">
        <v>8</v>
      </c>
      <c r="E117" s="3">
        <v>7</v>
      </c>
      <c r="F117" s="3" t="s">
        <v>172</v>
      </c>
      <c r="G117" s="1">
        <v>29</v>
      </c>
    </row>
    <row r="118" spans="1:7" hidden="1">
      <c r="A118" s="4" t="s">
        <v>153</v>
      </c>
      <c r="B118" s="3" t="s">
        <v>153</v>
      </c>
      <c r="C118" s="3">
        <v>5</v>
      </c>
      <c r="D118" t="s">
        <v>8</v>
      </c>
      <c r="E118" s="3">
        <v>9</v>
      </c>
      <c r="F118" s="3" t="s">
        <v>174</v>
      </c>
      <c r="G118" s="1">
        <v>28</v>
      </c>
    </row>
    <row r="119" spans="1:7" hidden="1">
      <c r="A119" s="3" t="s">
        <v>36</v>
      </c>
      <c r="B119" s="3" t="s">
        <v>36</v>
      </c>
      <c r="C119" s="3">
        <v>6</v>
      </c>
      <c r="D119" t="s">
        <v>8</v>
      </c>
      <c r="E119" s="3">
        <v>9</v>
      </c>
      <c r="F119" s="3" t="s">
        <v>174</v>
      </c>
      <c r="G119" s="1">
        <v>30</v>
      </c>
    </row>
    <row r="120" spans="1:7" hidden="1">
      <c r="A120" s="3" t="s">
        <v>36</v>
      </c>
      <c r="B120" s="3" t="s">
        <v>36</v>
      </c>
      <c r="C120" s="3">
        <v>6</v>
      </c>
      <c r="D120" t="s">
        <v>8</v>
      </c>
      <c r="E120" s="3">
        <v>9</v>
      </c>
      <c r="F120" s="3" t="s">
        <v>174</v>
      </c>
      <c r="G120" s="1">
        <v>26</v>
      </c>
    </row>
    <row r="121" spans="1:7" hidden="1">
      <c r="A121" s="3" t="s">
        <v>36</v>
      </c>
      <c r="B121" s="3" t="s">
        <v>36</v>
      </c>
      <c r="C121" s="3">
        <v>6</v>
      </c>
      <c r="D121" t="s">
        <v>16</v>
      </c>
      <c r="E121" s="3">
        <v>7</v>
      </c>
      <c r="F121" s="3" t="s">
        <v>172</v>
      </c>
      <c r="G121" s="1">
        <v>30</v>
      </c>
    </row>
    <row r="122" spans="1:7" hidden="1">
      <c r="A122" s="3" t="s">
        <v>36</v>
      </c>
      <c r="B122" s="3" t="s">
        <v>36</v>
      </c>
      <c r="C122" s="3">
        <v>6</v>
      </c>
      <c r="D122" t="s">
        <v>16</v>
      </c>
      <c r="E122" s="3">
        <v>7</v>
      </c>
      <c r="F122" s="3" t="s">
        <v>172</v>
      </c>
      <c r="G122" s="1">
        <v>29</v>
      </c>
    </row>
    <row r="123" spans="1:7" hidden="1">
      <c r="A123" s="5" t="s">
        <v>36</v>
      </c>
      <c r="B123" s="3" t="s">
        <v>36</v>
      </c>
      <c r="C123" s="3">
        <v>6</v>
      </c>
      <c r="D123" t="s">
        <v>16</v>
      </c>
      <c r="E123" s="3">
        <v>7</v>
      </c>
      <c r="F123" s="3" t="s">
        <v>172</v>
      </c>
      <c r="G123" s="1">
        <v>29</v>
      </c>
    </row>
    <row r="124" spans="1:7" hidden="1">
      <c r="A124" s="5" t="s">
        <v>61</v>
      </c>
      <c r="B124" s="3" t="s">
        <v>61</v>
      </c>
      <c r="C124" s="3">
        <v>6</v>
      </c>
      <c r="D124" t="s">
        <v>8</v>
      </c>
      <c r="E124" s="3">
        <v>9</v>
      </c>
      <c r="F124" s="3" t="s">
        <v>174</v>
      </c>
      <c r="G124" s="1">
        <v>27</v>
      </c>
    </row>
    <row r="125" spans="1:7" hidden="1">
      <c r="A125" s="5" t="s">
        <v>61</v>
      </c>
      <c r="B125" s="3" t="s">
        <v>61</v>
      </c>
      <c r="C125" s="3">
        <v>6</v>
      </c>
      <c r="D125" t="s">
        <v>16</v>
      </c>
      <c r="E125" s="3">
        <v>7</v>
      </c>
      <c r="F125" s="3" t="s">
        <v>172</v>
      </c>
      <c r="G125" s="1">
        <v>30</v>
      </c>
    </row>
    <row r="126" spans="1:7">
      <c r="A126" s="5" t="s">
        <v>61</v>
      </c>
      <c r="B126" s="3" t="s">
        <v>61</v>
      </c>
      <c r="C126" s="3">
        <v>6</v>
      </c>
      <c r="D126" t="s">
        <v>7</v>
      </c>
      <c r="E126" s="3">
        <v>11</v>
      </c>
      <c r="F126" s="3" t="s">
        <v>173</v>
      </c>
      <c r="G126" s="1">
        <v>23</v>
      </c>
    </row>
    <row r="127" spans="1:7">
      <c r="A127" s="5" t="s">
        <v>61</v>
      </c>
      <c r="B127" s="3" t="s">
        <v>61</v>
      </c>
      <c r="C127" s="3">
        <v>6</v>
      </c>
      <c r="D127" t="s">
        <v>7</v>
      </c>
      <c r="E127" s="3">
        <v>11</v>
      </c>
      <c r="F127" s="3" t="s">
        <v>173</v>
      </c>
      <c r="G127" s="1">
        <v>22</v>
      </c>
    </row>
    <row r="128" spans="1:7" hidden="1">
      <c r="A128" s="5" t="s">
        <v>100</v>
      </c>
      <c r="B128" s="3" t="s">
        <v>100</v>
      </c>
      <c r="C128" s="3">
        <v>6</v>
      </c>
      <c r="D128" t="s">
        <v>7</v>
      </c>
      <c r="E128" s="3">
        <v>7</v>
      </c>
      <c r="F128" s="3" t="s">
        <v>172</v>
      </c>
      <c r="G128" s="1">
        <v>30</v>
      </c>
    </row>
    <row r="129" spans="1:7" hidden="1">
      <c r="A129" s="4" t="s">
        <v>100</v>
      </c>
      <c r="B129" s="3" t="s">
        <v>100</v>
      </c>
      <c r="C129" s="3">
        <v>6</v>
      </c>
      <c r="D129" t="s">
        <v>7</v>
      </c>
      <c r="E129" s="3">
        <v>7</v>
      </c>
      <c r="F129" s="3" t="s">
        <v>172</v>
      </c>
      <c r="G129" s="1">
        <v>30</v>
      </c>
    </row>
    <row r="130" spans="1:7" hidden="1">
      <c r="A130" s="5" t="s">
        <v>100</v>
      </c>
      <c r="B130" s="3" t="s">
        <v>100</v>
      </c>
      <c r="C130" s="3">
        <v>6</v>
      </c>
      <c r="D130" t="s">
        <v>7</v>
      </c>
      <c r="E130" s="3">
        <v>9</v>
      </c>
      <c r="F130" s="3" t="s">
        <v>174</v>
      </c>
      <c r="G130" s="1">
        <v>24</v>
      </c>
    </row>
    <row r="131" spans="1:7" hidden="1">
      <c r="A131" s="5" t="s">
        <v>100</v>
      </c>
      <c r="B131" s="3" t="s">
        <v>100</v>
      </c>
      <c r="C131" s="3">
        <v>6</v>
      </c>
      <c r="D131" t="s">
        <v>7</v>
      </c>
      <c r="E131" s="3">
        <v>9</v>
      </c>
      <c r="F131" s="3" t="s">
        <v>174</v>
      </c>
      <c r="G131" s="1">
        <v>22</v>
      </c>
    </row>
    <row r="132" spans="1:7">
      <c r="A132" s="5" t="s">
        <v>100</v>
      </c>
      <c r="B132" s="3" t="s">
        <v>100</v>
      </c>
      <c r="C132" s="3">
        <v>6</v>
      </c>
      <c r="D132" t="s">
        <v>7</v>
      </c>
      <c r="E132" s="3">
        <v>11</v>
      </c>
      <c r="F132" s="3" t="s">
        <v>173</v>
      </c>
      <c r="G132" s="1">
        <v>29</v>
      </c>
    </row>
    <row r="133" spans="1:7" hidden="1">
      <c r="A133" s="5" t="s">
        <v>106</v>
      </c>
      <c r="B133" s="3" t="s">
        <v>106</v>
      </c>
      <c r="C133" s="3">
        <v>6</v>
      </c>
      <c r="D133" t="s">
        <v>7</v>
      </c>
      <c r="E133" s="3">
        <v>7</v>
      </c>
      <c r="F133" s="3" t="s">
        <v>172</v>
      </c>
      <c r="G133" s="1">
        <v>30</v>
      </c>
    </row>
    <row r="134" spans="1:7" hidden="1">
      <c r="A134" s="5" t="s">
        <v>106</v>
      </c>
      <c r="B134" s="3" t="s">
        <v>106</v>
      </c>
      <c r="C134" s="3">
        <v>6</v>
      </c>
      <c r="D134" t="s">
        <v>7</v>
      </c>
      <c r="E134" s="3">
        <v>7</v>
      </c>
      <c r="F134" s="3" t="s">
        <v>172</v>
      </c>
      <c r="G134" s="1">
        <v>30</v>
      </c>
    </row>
    <row r="135" spans="1:7" hidden="1">
      <c r="A135" s="5" t="s">
        <v>106</v>
      </c>
      <c r="B135" s="3" t="s">
        <v>106</v>
      </c>
      <c r="C135" s="3">
        <v>6</v>
      </c>
      <c r="D135" t="s">
        <v>7</v>
      </c>
      <c r="E135" s="3">
        <v>9</v>
      </c>
      <c r="F135" s="3" t="s">
        <v>174</v>
      </c>
      <c r="G135" s="1">
        <v>23</v>
      </c>
    </row>
    <row r="136" spans="1:7" hidden="1">
      <c r="A136" s="5" t="s">
        <v>106</v>
      </c>
      <c r="B136" s="3" t="s">
        <v>106</v>
      </c>
      <c r="C136" s="3">
        <v>6</v>
      </c>
      <c r="D136" t="s">
        <v>7</v>
      </c>
      <c r="E136" s="3">
        <v>9</v>
      </c>
      <c r="F136" s="3" t="s">
        <v>174</v>
      </c>
      <c r="G136" s="1">
        <v>27</v>
      </c>
    </row>
    <row r="137" spans="1:7">
      <c r="A137" s="4" t="s">
        <v>106</v>
      </c>
      <c r="B137" s="3" t="s">
        <v>106</v>
      </c>
      <c r="C137" s="3">
        <v>6</v>
      </c>
      <c r="D137" t="s">
        <v>7</v>
      </c>
      <c r="E137" s="3">
        <v>11</v>
      </c>
      <c r="F137" s="3" t="s">
        <v>173</v>
      </c>
      <c r="G137" s="1">
        <v>32</v>
      </c>
    </row>
    <row r="138" spans="1:7" hidden="1">
      <c r="A138" s="5" t="s">
        <v>108</v>
      </c>
      <c r="B138" s="3" t="s">
        <v>108</v>
      </c>
      <c r="C138" s="3">
        <v>6</v>
      </c>
      <c r="D138" t="s">
        <v>7</v>
      </c>
      <c r="E138" s="3">
        <v>7</v>
      </c>
      <c r="F138" s="3" t="s">
        <v>172</v>
      </c>
      <c r="G138" s="1">
        <v>27</v>
      </c>
    </row>
    <row r="139" spans="1:7" hidden="1">
      <c r="A139" s="5" t="s">
        <v>108</v>
      </c>
      <c r="B139" s="3" t="s">
        <v>108</v>
      </c>
      <c r="C139" s="3">
        <v>6</v>
      </c>
      <c r="D139" t="s">
        <v>7</v>
      </c>
      <c r="E139" s="3">
        <v>9</v>
      </c>
      <c r="F139" s="3" t="s">
        <v>174</v>
      </c>
      <c r="G139" s="1">
        <v>22</v>
      </c>
    </row>
    <row r="140" spans="1:7" hidden="1">
      <c r="A140" s="5" t="s">
        <v>143</v>
      </c>
      <c r="B140" s="3" t="s">
        <v>144</v>
      </c>
      <c r="C140" s="3">
        <v>6</v>
      </c>
      <c r="D140" t="s">
        <v>8</v>
      </c>
      <c r="E140" s="3">
        <v>9</v>
      </c>
      <c r="F140" s="3" t="s">
        <v>174</v>
      </c>
      <c r="G140" s="1">
        <v>25</v>
      </c>
    </row>
    <row r="141" spans="1:7" hidden="1">
      <c r="A141" s="4" t="s">
        <v>13</v>
      </c>
      <c r="B141" s="3" t="s">
        <v>13</v>
      </c>
      <c r="C141" s="3">
        <v>7</v>
      </c>
      <c r="D141" t="s">
        <v>9</v>
      </c>
      <c r="E141" s="3">
        <v>7</v>
      </c>
      <c r="F141" s="3" t="s">
        <v>172</v>
      </c>
      <c r="G141" s="1">
        <v>28</v>
      </c>
    </row>
    <row r="142" spans="1:7" hidden="1">
      <c r="A142" s="4" t="s">
        <v>13</v>
      </c>
      <c r="B142" s="3" t="s">
        <v>13</v>
      </c>
      <c r="C142" s="3">
        <v>7</v>
      </c>
      <c r="D142" t="s">
        <v>9</v>
      </c>
      <c r="E142" s="3">
        <v>7</v>
      </c>
      <c r="F142" s="3" t="s">
        <v>172</v>
      </c>
      <c r="G142" s="1">
        <v>26</v>
      </c>
    </row>
    <row r="143" spans="1:7" hidden="1">
      <c r="A143" s="3" t="s">
        <v>13</v>
      </c>
      <c r="B143" s="3" t="s">
        <v>13</v>
      </c>
      <c r="C143" s="3">
        <v>7</v>
      </c>
      <c r="D143" t="s">
        <v>9</v>
      </c>
      <c r="E143" s="3">
        <v>7</v>
      </c>
      <c r="F143" s="3" t="s">
        <v>172</v>
      </c>
      <c r="G143" s="1">
        <v>17</v>
      </c>
    </row>
    <row r="144" spans="1:7" hidden="1">
      <c r="A144" s="4" t="s">
        <v>13</v>
      </c>
      <c r="B144" s="3" t="s">
        <v>13</v>
      </c>
      <c r="C144" s="3">
        <v>7</v>
      </c>
      <c r="D144" t="s">
        <v>9</v>
      </c>
      <c r="E144" s="3">
        <v>9</v>
      </c>
      <c r="F144" s="3" t="s">
        <v>174</v>
      </c>
      <c r="G144" s="1">
        <v>30</v>
      </c>
    </row>
    <row r="145" spans="1:7" hidden="1">
      <c r="A145" s="3" t="s">
        <v>13</v>
      </c>
      <c r="B145" s="3" t="s">
        <v>13</v>
      </c>
      <c r="C145" s="3">
        <v>7</v>
      </c>
      <c r="D145" t="s">
        <v>9</v>
      </c>
      <c r="E145" s="3">
        <v>9</v>
      </c>
      <c r="F145" s="3" t="s">
        <v>174</v>
      </c>
      <c r="G145" s="1">
        <v>30</v>
      </c>
    </row>
    <row r="146" spans="1:7" hidden="1">
      <c r="A146" s="5" t="s">
        <v>13</v>
      </c>
      <c r="B146" s="3" t="s">
        <v>13</v>
      </c>
      <c r="C146" s="3">
        <v>7</v>
      </c>
      <c r="D146" t="s">
        <v>9</v>
      </c>
      <c r="E146" s="3">
        <v>9</v>
      </c>
      <c r="F146" s="3" t="s">
        <v>174</v>
      </c>
      <c r="G146" s="1">
        <v>30</v>
      </c>
    </row>
    <row r="147" spans="1:7" hidden="1">
      <c r="A147" s="3" t="s">
        <v>27</v>
      </c>
      <c r="B147" s="3" t="s">
        <v>27</v>
      </c>
      <c r="C147" s="9">
        <v>7</v>
      </c>
      <c r="D147" t="s">
        <v>8</v>
      </c>
      <c r="E147" s="3">
        <v>7</v>
      </c>
      <c r="F147" s="3" t="s">
        <v>172</v>
      </c>
      <c r="G147" s="1">
        <v>25</v>
      </c>
    </row>
    <row r="148" spans="1:7" hidden="1">
      <c r="A148" s="3" t="s">
        <v>27</v>
      </c>
      <c r="B148" s="3" t="s">
        <v>27</v>
      </c>
      <c r="C148" s="9">
        <v>7</v>
      </c>
      <c r="D148" t="s">
        <v>8</v>
      </c>
      <c r="E148" s="3">
        <v>7</v>
      </c>
      <c r="F148" s="3" t="s">
        <v>172</v>
      </c>
      <c r="G148" s="1">
        <v>22</v>
      </c>
    </row>
    <row r="149" spans="1:7" hidden="1">
      <c r="A149" s="4" t="s">
        <v>27</v>
      </c>
      <c r="B149" s="3" t="s">
        <v>27</v>
      </c>
      <c r="C149" s="9">
        <v>7</v>
      </c>
      <c r="D149" t="s">
        <v>8</v>
      </c>
      <c r="E149" s="3">
        <v>7</v>
      </c>
      <c r="F149" s="3" t="s">
        <v>172</v>
      </c>
      <c r="G149" s="1">
        <v>12</v>
      </c>
    </row>
    <row r="150" spans="1:7" hidden="1">
      <c r="A150" s="3" t="s">
        <v>27</v>
      </c>
      <c r="B150" s="3" t="s">
        <v>27</v>
      </c>
      <c r="C150" s="9">
        <v>7</v>
      </c>
      <c r="D150" t="s">
        <v>8</v>
      </c>
      <c r="E150" s="3">
        <v>9</v>
      </c>
      <c r="F150" s="3" t="s">
        <v>174</v>
      </c>
      <c r="G150" s="1">
        <v>24</v>
      </c>
    </row>
    <row r="151" spans="1:7" hidden="1">
      <c r="A151" s="3" t="s">
        <v>27</v>
      </c>
      <c r="B151" s="3" t="s">
        <v>27</v>
      </c>
      <c r="C151" s="9">
        <v>7</v>
      </c>
      <c r="D151" t="s">
        <v>8</v>
      </c>
      <c r="E151" s="3">
        <v>9</v>
      </c>
      <c r="F151" s="3" t="s">
        <v>174</v>
      </c>
      <c r="G151" s="1">
        <v>28</v>
      </c>
    </row>
    <row r="152" spans="1:7" hidden="1">
      <c r="A152" s="5" t="s">
        <v>27</v>
      </c>
      <c r="B152" s="3" t="s">
        <v>27</v>
      </c>
      <c r="C152" s="9">
        <v>7</v>
      </c>
      <c r="D152" t="s">
        <v>8</v>
      </c>
      <c r="E152" s="3">
        <v>9</v>
      </c>
      <c r="F152" s="3" t="s">
        <v>174</v>
      </c>
      <c r="G152" s="1">
        <v>12</v>
      </c>
    </row>
    <row r="153" spans="1:7" hidden="1">
      <c r="A153" s="3" t="s">
        <v>34</v>
      </c>
      <c r="B153" s="3" t="s">
        <v>35</v>
      </c>
      <c r="C153" s="3">
        <v>7</v>
      </c>
      <c r="D153" t="s">
        <v>16</v>
      </c>
      <c r="E153" s="3">
        <v>7</v>
      </c>
      <c r="F153" s="3" t="s">
        <v>172</v>
      </c>
      <c r="G153" s="1">
        <v>28</v>
      </c>
    </row>
    <row r="154" spans="1:7" hidden="1">
      <c r="A154" s="4" t="s">
        <v>34</v>
      </c>
      <c r="B154" s="3" t="s">
        <v>35</v>
      </c>
      <c r="C154" s="3">
        <v>7</v>
      </c>
      <c r="D154" t="s">
        <v>16</v>
      </c>
      <c r="E154" s="3">
        <v>7</v>
      </c>
      <c r="F154" s="3" t="s">
        <v>172</v>
      </c>
      <c r="G154" s="1">
        <v>27</v>
      </c>
    </row>
    <row r="155" spans="1:7" hidden="1">
      <c r="A155" s="4" t="s">
        <v>34</v>
      </c>
      <c r="B155" s="3" t="s">
        <v>35</v>
      </c>
      <c r="C155" s="3">
        <v>7</v>
      </c>
      <c r="D155" t="s">
        <v>16</v>
      </c>
      <c r="E155" s="3">
        <v>9</v>
      </c>
      <c r="F155" s="3" t="s">
        <v>174</v>
      </c>
      <c r="G155" s="1">
        <v>28</v>
      </c>
    </row>
    <row r="156" spans="1:7" hidden="1">
      <c r="A156" s="5" t="s">
        <v>42</v>
      </c>
      <c r="B156" s="3" t="s">
        <v>42</v>
      </c>
      <c r="C156" s="3">
        <v>7</v>
      </c>
      <c r="D156" t="s">
        <v>8</v>
      </c>
      <c r="E156" s="3">
        <v>7</v>
      </c>
      <c r="F156" s="3" t="s">
        <v>172</v>
      </c>
      <c r="G156" s="1">
        <v>35</v>
      </c>
    </row>
    <row r="157" spans="1:7" hidden="1">
      <c r="A157" s="5" t="s">
        <v>42</v>
      </c>
      <c r="B157" s="3" t="s">
        <v>42</v>
      </c>
      <c r="C157" s="3">
        <v>7</v>
      </c>
      <c r="D157" t="s">
        <v>8</v>
      </c>
      <c r="E157" s="3">
        <v>7</v>
      </c>
      <c r="F157" s="3" t="s">
        <v>172</v>
      </c>
      <c r="G157" s="1">
        <v>34</v>
      </c>
    </row>
    <row r="158" spans="1:7" hidden="1">
      <c r="A158" s="5" t="s">
        <v>42</v>
      </c>
      <c r="B158" s="3" t="s">
        <v>42</v>
      </c>
      <c r="C158" s="3">
        <v>7</v>
      </c>
      <c r="D158" t="s">
        <v>8</v>
      </c>
      <c r="E158" s="3">
        <v>9</v>
      </c>
      <c r="F158" s="3" t="s">
        <v>174</v>
      </c>
      <c r="G158" s="1">
        <v>28</v>
      </c>
    </row>
    <row r="159" spans="1:7" hidden="1">
      <c r="A159" s="5" t="s">
        <v>43</v>
      </c>
      <c r="B159" s="3" t="s">
        <v>43</v>
      </c>
      <c r="C159" s="3">
        <v>7</v>
      </c>
      <c r="D159" t="s">
        <v>8</v>
      </c>
      <c r="E159" s="3">
        <v>9</v>
      </c>
      <c r="F159" s="3" t="s">
        <v>174</v>
      </c>
      <c r="G159" s="1">
        <v>29</v>
      </c>
    </row>
    <row r="160" spans="1:7" hidden="1">
      <c r="A160" s="4" t="s">
        <v>45</v>
      </c>
      <c r="B160" s="3" t="s">
        <v>45</v>
      </c>
      <c r="C160" s="3">
        <v>7</v>
      </c>
      <c r="D160" t="s">
        <v>8</v>
      </c>
      <c r="E160" s="3">
        <v>7</v>
      </c>
      <c r="F160" s="3" t="s">
        <v>172</v>
      </c>
      <c r="G160" s="1">
        <v>29</v>
      </c>
    </row>
    <row r="161" spans="1:7" hidden="1">
      <c r="A161" s="5" t="s">
        <v>45</v>
      </c>
      <c r="B161" s="3" t="s">
        <v>45</v>
      </c>
      <c r="C161" s="3">
        <v>7</v>
      </c>
      <c r="D161" t="s">
        <v>8</v>
      </c>
      <c r="E161" s="3">
        <v>9</v>
      </c>
      <c r="F161" s="3" t="s">
        <v>174</v>
      </c>
      <c r="G161" s="1">
        <v>24</v>
      </c>
    </row>
    <row r="162" spans="1:7">
      <c r="A162" s="4" t="s">
        <v>45</v>
      </c>
      <c r="B162" s="3" t="s">
        <v>45</v>
      </c>
      <c r="C162" s="3">
        <v>7</v>
      </c>
      <c r="D162" t="s">
        <v>8</v>
      </c>
      <c r="E162" s="3">
        <v>11</v>
      </c>
      <c r="F162" s="3" t="s">
        <v>173</v>
      </c>
      <c r="G162" s="1">
        <v>13</v>
      </c>
    </row>
    <row r="163" spans="1:7" hidden="1">
      <c r="A163" s="5" t="s">
        <v>127</v>
      </c>
      <c r="B163" s="3" t="s">
        <v>128</v>
      </c>
      <c r="C163" s="3">
        <v>7</v>
      </c>
      <c r="D163" t="s">
        <v>8</v>
      </c>
      <c r="E163" s="3">
        <v>7</v>
      </c>
      <c r="F163" s="3" t="s">
        <v>172</v>
      </c>
      <c r="G163" s="1">
        <v>23</v>
      </c>
    </row>
    <row r="164" spans="1:7" hidden="1">
      <c r="A164" s="5" t="s">
        <v>127</v>
      </c>
      <c r="B164" s="3" t="s">
        <v>128</v>
      </c>
      <c r="C164" s="3">
        <v>7</v>
      </c>
      <c r="D164" t="s">
        <v>8</v>
      </c>
      <c r="E164" s="3">
        <v>7</v>
      </c>
      <c r="F164" s="3" t="s">
        <v>172</v>
      </c>
      <c r="G164" s="1">
        <v>22</v>
      </c>
    </row>
    <row r="165" spans="1:7" hidden="1">
      <c r="A165" s="4" t="s">
        <v>127</v>
      </c>
      <c r="B165" s="3" t="s">
        <v>128</v>
      </c>
      <c r="C165" s="3">
        <v>7</v>
      </c>
      <c r="D165" t="s">
        <v>8</v>
      </c>
      <c r="E165" s="3">
        <v>7</v>
      </c>
      <c r="F165" s="3" t="s">
        <v>172</v>
      </c>
      <c r="G165" s="1">
        <v>21</v>
      </c>
    </row>
    <row r="166" spans="1:7" hidden="1">
      <c r="A166" s="5" t="s">
        <v>127</v>
      </c>
      <c r="B166" s="3" t="s">
        <v>128</v>
      </c>
      <c r="C166" s="3">
        <v>7</v>
      </c>
      <c r="D166" t="s">
        <v>8</v>
      </c>
      <c r="E166" s="3">
        <v>9</v>
      </c>
      <c r="F166" s="3" t="s">
        <v>174</v>
      </c>
      <c r="G166" s="1">
        <v>29</v>
      </c>
    </row>
    <row r="167" spans="1:7" hidden="1">
      <c r="A167" s="5" t="s">
        <v>127</v>
      </c>
      <c r="B167" s="3" t="s">
        <v>128</v>
      </c>
      <c r="C167" s="3">
        <v>7</v>
      </c>
      <c r="D167" t="s">
        <v>8</v>
      </c>
      <c r="E167" s="3">
        <v>9</v>
      </c>
      <c r="F167" s="3" t="s">
        <v>174</v>
      </c>
      <c r="G167" s="1">
        <v>29</v>
      </c>
    </row>
    <row r="168" spans="1:7" hidden="1">
      <c r="A168" s="5" t="s">
        <v>127</v>
      </c>
      <c r="B168" s="3" t="s">
        <v>128</v>
      </c>
      <c r="C168" s="3">
        <v>7</v>
      </c>
      <c r="D168" t="s">
        <v>8</v>
      </c>
      <c r="E168" s="3">
        <v>9</v>
      </c>
      <c r="F168" s="3" t="s">
        <v>174</v>
      </c>
      <c r="G168" s="1">
        <v>30</v>
      </c>
    </row>
    <row r="169" spans="1:7">
      <c r="A169" s="4" t="s">
        <v>127</v>
      </c>
      <c r="B169" s="3" t="s">
        <v>128</v>
      </c>
      <c r="C169" s="3">
        <v>7</v>
      </c>
      <c r="D169" t="s">
        <v>7</v>
      </c>
      <c r="E169" s="3">
        <v>11</v>
      </c>
      <c r="F169" s="3" t="s">
        <v>173</v>
      </c>
      <c r="G169" s="1">
        <v>30</v>
      </c>
    </row>
    <row r="170" spans="1:7">
      <c r="A170" s="5" t="s">
        <v>127</v>
      </c>
      <c r="B170" s="3" t="s">
        <v>128</v>
      </c>
      <c r="C170" s="3">
        <v>7</v>
      </c>
      <c r="D170" t="s">
        <v>7</v>
      </c>
      <c r="E170" s="3">
        <v>11</v>
      </c>
      <c r="F170" s="3" t="s">
        <v>173</v>
      </c>
      <c r="G170" s="1">
        <v>28</v>
      </c>
    </row>
    <row r="171" spans="1:7">
      <c r="A171" s="4" t="s">
        <v>127</v>
      </c>
      <c r="B171" s="3" t="s">
        <v>128</v>
      </c>
      <c r="C171" s="3">
        <v>7</v>
      </c>
      <c r="D171" t="s">
        <v>7</v>
      </c>
      <c r="E171" s="3">
        <v>11</v>
      </c>
      <c r="F171" s="3" t="s">
        <v>173</v>
      </c>
      <c r="G171" s="1">
        <v>26</v>
      </c>
    </row>
    <row r="172" spans="1:7" hidden="1">
      <c r="A172" s="5" t="s">
        <v>151</v>
      </c>
      <c r="B172" s="3" t="s">
        <v>152</v>
      </c>
      <c r="C172" s="3">
        <v>7</v>
      </c>
      <c r="D172" t="s">
        <v>16</v>
      </c>
      <c r="E172" s="3">
        <v>7</v>
      </c>
      <c r="F172" s="3" t="s">
        <v>172</v>
      </c>
      <c r="G172" s="1">
        <v>29</v>
      </c>
    </row>
    <row r="173" spans="1:7" hidden="1">
      <c r="A173" s="5" t="s">
        <v>151</v>
      </c>
      <c r="B173" s="3" t="s">
        <v>152</v>
      </c>
      <c r="C173" s="3">
        <v>7</v>
      </c>
      <c r="D173" t="s">
        <v>16</v>
      </c>
      <c r="E173" s="3">
        <v>9</v>
      </c>
      <c r="F173" s="3" t="s">
        <v>174</v>
      </c>
      <c r="G173" s="1">
        <v>22</v>
      </c>
    </row>
    <row r="174" spans="1:7" hidden="1">
      <c r="A174" s="5" t="s">
        <v>161</v>
      </c>
      <c r="B174" s="3" t="s">
        <v>161</v>
      </c>
      <c r="C174" s="3">
        <v>7</v>
      </c>
      <c r="D174" t="s">
        <v>7</v>
      </c>
      <c r="E174" s="3">
        <v>7</v>
      </c>
      <c r="F174" s="3" t="s">
        <v>172</v>
      </c>
      <c r="G174" s="1">
        <v>27</v>
      </c>
    </row>
    <row r="175" spans="1:7" hidden="1">
      <c r="A175" s="4" t="s">
        <v>161</v>
      </c>
      <c r="B175" s="3" t="s">
        <v>161</v>
      </c>
      <c r="C175" s="3">
        <v>7</v>
      </c>
      <c r="D175" t="s">
        <v>7</v>
      </c>
      <c r="E175" s="3">
        <v>9</v>
      </c>
      <c r="F175" s="3" t="s">
        <v>174</v>
      </c>
      <c r="G175" s="1">
        <v>25</v>
      </c>
    </row>
    <row r="176" spans="1:7" hidden="1">
      <c r="A176" s="5" t="s">
        <v>164</v>
      </c>
      <c r="B176" s="3" t="s">
        <v>164</v>
      </c>
      <c r="C176" s="3">
        <v>7</v>
      </c>
      <c r="D176" t="s">
        <v>8</v>
      </c>
      <c r="E176" s="3">
        <v>9</v>
      </c>
      <c r="F176" s="3" t="s">
        <v>174</v>
      </c>
      <c r="G176" s="1">
        <v>28</v>
      </c>
    </row>
    <row r="177" spans="1:7" hidden="1">
      <c r="A177" s="5" t="s">
        <v>167</v>
      </c>
      <c r="B177" s="3" t="s">
        <v>167</v>
      </c>
      <c r="C177" s="3">
        <v>7</v>
      </c>
      <c r="D177" t="s">
        <v>8</v>
      </c>
      <c r="E177" s="3">
        <v>7</v>
      </c>
      <c r="F177" s="3" t="s">
        <v>172</v>
      </c>
      <c r="G177" s="1">
        <v>22</v>
      </c>
    </row>
    <row r="178" spans="1:7" hidden="1">
      <c r="A178" s="5" t="s">
        <v>91</v>
      </c>
      <c r="B178" s="3" t="s">
        <v>91</v>
      </c>
      <c r="C178" s="3">
        <v>8</v>
      </c>
      <c r="D178" t="s">
        <v>8</v>
      </c>
      <c r="E178" s="3">
        <v>7</v>
      </c>
      <c r="F178" s="3" t="s">
        <v>172</v>
      </c>
      <c r="G178" s="1">
        <v>30</v>
      </c>
    </row>
    <row r="179" spans="1:7" hidden="1">
      <c r="A179" s="5" t="s">
        <v>91</v>
      </c>
      <c r="B179" s="3" t="s">
        <v>91</v>
      </c>
      <c r="C179" s="3">
        <v>8</v>
      </c>
      <c r="D179" t="s">
        <v>8</v>
      </c>
      <c r="E179" s="3">
        <v>7</v>
      </c>
      <c r="F179" s="3" t="s">
        <v>172</v>
      </c>
      <c r="G179" s="1">
        <v>30</v>
      </c>
    </row>
    <row r="180" spans="1:7" hidden="1">
      <c r="A180" s="5" t="s">
        <v>91</v>
      </c>
      <c r="B180" s="3" t="s">
        <v>91</v>
      </c>
      <c r="C180" s="3">
        <v>8</v>
      </c>
      <c r="D180" t="s">
        <v>8</v>
      </c>
      <c r="E180" s="3">
        <v>9</v>
      </c>
      <c r="F180" s="3" t="s">
        <v>174</v>
      </c>
      <c r="G180" s="1">
        <v>26</v>
      </c>
    </row>
    <row r="181" spans="1:7" hidden="1">
      <c r="A181" s="5" t="s">
        <v>91</v>
      </c>
      <c r="B181" s="3" t="s">
        <v>91</v>
      </c>
      <c r="C181" s="3">
        <v>8</v>
      </c>
      <c r="D181" t="s">
        <v>8</v>
      </c>
      <c r="E181" s="3">
        <v>9</v>
      </c>
      <c r="F181" s="3" t="s">
        <v>174</v>
      </c>
      <c r="G181" s="1">
        <v>25</v>
      </c>
    </row>
    <row r="182" spans="1:7" hidden="1">
      <c r="A182" s="4" t="s">
        <v>116</v>
      </c>
      <c r="B182" s="3" t="s">
        <v>116</v>
      </c>
      <c r="C182" s="3">
        <v>8</v>
      </c>
      <c r="D182" t="s">
        <v>7</v>
      </c>
      <c r="E182" s="3">
        <v>7</v>
      </c>
      <c r="F182" s="3" t="s">
        <v>172</v>
      </c>
      <c r="G182" s="1">
        <v>30</v>
      </c>
    </row>
    <row r="183" spans="1:7" hidden="1">
      <c r="A183" s="5" t="s">
        <v>116</v>
      </c>
      <c r="B183" s="3" t="s">
        <v>116</v>
      </c>
      <c r="C183" s="3">
        <v>8</v>
      </c>
      <c r="D183" t="s">
        <v>7</v>
      </c>
      <c r="E183" s="3">
        <v>9</v>
      </c>
      <c r="F183" s="3" t="s">
        <v>174</v>
      </c>
      <c r="G183" s="1">
        <v>24</v>
      </c>
    </row>
    <row r="184" spans="1:7" hidden="1">
      <c r="A184" s="5" t="s">
        <v>114</v>
      </c>
      <c r="B184" s="3" t="s">
        <v>114</v>
      </c>
      <c r="C184" s="3">
        <v>9</v>
      </c>
      <c r="D184" t="s">
        <v>8</v>
      </c>
      <c r="E184" s="3">
        <v>7</v>
      </c>
      <c r="F184" s="3" t="s">
        <v>172</v>
      </c>
      <c r="G184" s="1">
        <v>30</v>
      </c>
    </row>
    <row r="185" spans="1:7" hidden="1">
      <c r="A185" s="5" t="s">
        <v>114</v>
      </c>
      <c r="B185" s="3" t="s">
        <v>114</v>
      </c>
      <c r="C185" s="3">
        <v>9</v>
      </c>
      <c r="D185" t="s">
        <v>8</v>
      </c>
      <c r="E185" s="3">
        <v>7</v>
      </c>
      <c r="F185" s="3" t="s">
        <v>172</v>
      </c>
      <c r="G185" s="1">
        <v>30</v>
      </c>
    </row>
    <row r="186" spans="1:7" hidden="1">
      <c r="A186" s="5" t="s">
        <v>114</v>
      </c>
      <c r="B186" s="3" t="s">
        <v>114</v>
      </c>
      <c r="C186" s="3">
        <v>9</v>
      </c>
      <c r="D186" t="s">
        <v>16</v>
      </c>
      <c r="E186" s="3">
        <v>9</v>
      </c>
      <c r="F186" s="3" t="s">
        <v>174</v>
      </c>
      <c r="G186" s="1">
        <v>30</v>
      </c>
    </row>
    <row r="187" spans="1:7" hidden="1">
      <c r="A187" s="4" t="s">
        <v>114</v>
      </c>
      <c r="B187" s="3" t="s">
        <v>114</v>
      </c>
      <c r="C187" s="3">
        <v>9</v>
      </c>
      <c r="D187" t="s">
        <v>16</v>
      </c>
      <c r="E187" s="3">
        <v>9</v>
      </c>
      <c r="F187" s="3" t="s">
        <v>174</v>
      </c>
      <c r="G187" s="1">
        <v>30</v>
      </c>
    </row>
    <row r="188" spans="1:7" hidden="1">
      <c r="A188" s="5" t="s">
        <v>129</v>
      </c>
      <c r="B188" s="3" t="s">
        <v>129</v>
      </c>
      <c r="C188" s="3">
        <v>9</v>
      </c>
      <c r="D188" t="s">
        <v>16</v>
      </c>
      <c r="E188" s="3">
        <v>7</v>
      </c>
      <c r="F188" s="3" t="s">
        <v>172</v>
      </c>
      <c r="G188" s="1">
        <v>27</v>
      </c>
    </row>
    <row r="189" spans="1:7" hidden="1">
      <c r="A189" s="5" t="s">
        <v>129</v>
      </c>
      <c r="B189" s="3" t="s">
        <v>129</v>
      </c>
      <c r="C189" s="3">
        <v>9</v>
      </c>
      <c r="D189" t="s">
        <v>16</v>
      </c>
      <c r="E189" s="3">
        <v>7</v>
      </c>
      <c r="F189" s="3" t="s">
        <v>172</v>
      </c>
      <c r="G189" s="1">
        <v>28</v>
      </c>
    </row>
    <row r="190" spans="1:7" hidden="1">
      <c r="A190" s="5" t="s">
        <v>129</v>
      </c>
      <c r="B190" s="3" t="s">
        <v>129</v>
      </c>
      <c r="C190" s="3">
        <v>9</v>
      </c>
      <c r="D190" t="s">
        <v>16</v>
      </c>
      <c r="E190" s="3">
        <v>9</v>
      </c>
      <c r="F190" s="3" t="s">
        <v>174</v>
      </c>
      <c r="G190" s="1">
        <v>25</v>
      </c>
    </row>
    <row r="191" spans="1:7" hidden="1">
      <c r="A191" s="5" t="s">
        <v>129</v>
      </c>
      <c r="B191" s="3" t="s">
        <v>129</v>
      </c>
      <c r="C191" s="3">
        <v>9</v>
      </c>
      <c r="D191" t="s">
        <v>16</v>
      </c>
      <c r="E191" s="3">
        <v>9</v>
      </c>
      <c r="F191" s="3" t="s">
        <v>174</v>
      </c>
      <c r="G191" s="1">
        <v>24</v>
      </c>
    </row>
    <row r="192" spans="1:7">
      <c r="A192" s="5" t="s">
        <v>129</v>
      </c>
      <c r="B192" s="3" t="s">
        <v>129</v>
      </c>
      <c r="C192" s="3">
        <v>9</v>
      </c>
      <c r="D192" t="s">
        <v>7</v>
      </c>
      <c r="E192" s="3">
        <v>11</v>
      </c>
      <c r="F192" s="3" t="s">
        <v>173</v>
      </c>
      <c r="G192" s="1">
        <v>29</v>
      </c>
    </row>
    <row r="193" spans="1:7" hidden="1">
      <c r="A193" s="3" t="s">
        <v>11</v>
      </c>
      <c r="B193" s="3" t="s">
        <v>12</v>
      </c>
      <c r="C193" s="3">
        <v>10</v>
      </c>
      <c r="D193" t="s">
        <v>8</v>
      </c>
      <c r="E193" s="3">
        <v>7</v>
      </c>
      <c r="F193" s="3" t="s">
        <v>172</v>
      </c>
      <c r="G193" s="1">
        <v>14</v>
      </c>
    </row>
    <row r="194" spans="1:7" hidden="1">
      <c r="A194" s="5" t="s">
        <v>11</v>
      </c>
      <c r="B194" s="3" t="s">
        <v>12</v>
      </c>
      <c r="C194" s="3">
        <v>10</v>
      </c>
      <c r="D194" t="s">
        <v>8</v>
      </c>
      <c r="E194" s="3">
        <v>9</v>
      </c>
      <c r="F194" s="3" t="s">
        <v>174</v>
      </c>
      <c r="G194" s="1">
        <v>11</v>
      </c>
    </row>
    <row r="195" spans="1:7" hidden="1">
      <c r="A195" s="3" t="s">
        <v>22</v>
      </c>
      <c r="B195" s="3" t="s">
        <v>22</v>
      </c>
      <c r="C195" s="3">
        <v>10</v>
      </c>
      <c r="D195" t="s">
        <v>16</v>
      </c>
      <c r="E195" s="3">
        <v>7</v>
      </c>
      <c r="F195" s="3" t="s">
        <v>172</v>
      </c>
      <c r="G195" s="1">
        <v>21</v>
      </c>
    </row>
    <row r="196" spans="1:7" hidden="1">
      <c r="A196" s="4" t="s">
        <v>22</v>
      </c>
      <c r="B196" s="3" t="s">
        <v>22</v>
      </c>
      <c r="C196" s="3">
        <v>10</v>
      </c>
      <c r="D196" t="s">
        <v>16</v>
      </c>
      <c r="E196" s="3">
        <v>7</v>
      </c>
      <c r="F196" s="3" t="s">
        <v>172</v>
      </c>
      <c r="G196" s="1">
        <v>16</v>
      </c>
    </row>
    <row r="197" spans="1:7" hidden="1">
      <c r="A197" s="5" t="s">
        <v>22</v>
      </c>
      <c r="B197" s="3" t="s">
        <v>22</v>
      </c>
      <c r="C197" s="3">
        <v>10</v>
      </c>
      <c r="D197" t="s">
        <v>16</v>
      </c>
      <c r="E197" s="3">
        <v>9</v>
      </c>
      <c r="F197" s="3" t="s">
        <v>174</v>
      </c>
      <c r="G197" s="1">
        <v>29</v>
      </c>
    </row>
    <row r="198" spans="1:7" hidden="1">
      <c r="A198" s="5" t="s">
        <v>87</v>
      </c>
      <c r="B198" s="3" t="s">
        <v>87</v>
      </c>
      <c r="C198" s="3">
        <v>10</v>
      </c>
      <c r="D198" t="s">
        <v>16</v>
      </c>
      <c r="E198" s="3">
        <v>7</v>
      </c>
      <c r="F198" s="3" t="s">
        <v>172</v>
      </c>
      <c r="G198" s="1">
        <v>30</v>
      </c>
    </row>
    <row r="199" spans="1:7" hidden="1">
      <c r="A199" s="5" t="s">
        <v>87</v>
      </c>
      <c r="B199" s="3" t="s">
        <v>87</v>
      </c>
      <c r="C199" s="3">
        <v>10</v>
      </c>
      <c r="D199" t="s">
        <v>16</v>
      </c>
      <c r="E199" s="3">
        <v>7</v>
      </c>
      <c r="F199" s="3" t="s">
        <v>172</v>
      </c>
      <c r="G199" s="1">
        <v>30</v>
      </c>
    </row>
    <row r="200" spans="1:7" hidden="1">
      <c r="A200" s="5" t="s">
        <v>87</v>
      </c>
      <c r="B200" s="3" t="s">
        <v>87</v>
      </c>
      <c r="C200" s="3">
        <v>10</v>
      </c>
      <c r="D200" t="s">
        <v>16</v>
      </c>
      <c r="E200" s="3">
        <v>7</v>
      </c>
      <c r="F200" s="3" t="s">
        <v>172</v>
      </c>
      <c r="G200" s="1">
        <v>30</v>
      </c>
    </row>
    <row r="201" spans="1:7" hidden="1">
      <c r="A201" s="4" t="s">
        <v>87</v>
      </c>
      <c r="B201" s="3" t="s">
        <v>87</v>
      </c>
      <c r="C201" s="3">
        <v>10</v>
      </c>
      <c r="D201" t="s">
        <v>16</v>
      </c>
      <c r="E201" s="3">
        <v>7</v>
      </c>
      <c r="F201" s="3" t="s">
        <v>172</v>
      </c>
      <c r="G201" s="1">
        <v>30</v>
      </c>
    </row>
    <row r="202" spans="1:7" hidden="1">
      <c r="A202" s="5" t="s">
        <v>87</v>
      </c>
      <c r="B202" s="3" t="s">
        <v>87</v>
      </c>
      <c r="C202" s="3">
        <v>10</v>
      </c>
      <c r="D202" t="s">
        <v>16</v>
      </c>
      <c r="E202" s="3">
        <v>7</v>
      </c>
      <c r="F202" s="3" t="s">
        <v>172</v>
      </c>
      <c r="G202" s="1">
        <v>30</v>
      </c>
    </row>
    <row r="203" spans="1:7" hidden="1">
      <c r="A203" s="5" t="s">
        <v>87</v>
      </c>
      <c r="B203" s="3" t="s">
        <v>87</v>
      </c>
      <c r="C203" s="3">
        <v>10</v>
      </c>
      <c r="D203" t="s">
        <v>16</v>
      </c>
      <c r="E203" s="3">
        <v>9</v>
      </c>
      <c r="F203" s="3" t="s">
        <v>174</v>
      </c>
      <c r="G203" s="1">
        <v>30</v>
      </c>
    </row>
    <row r="204" spans="1:7" hidden="1">
      <c r="A204" s="5" t="s">
        <v>87</v>
      </c>
      <c r="B204" s="3" t="s">
        <v>87</v>
      </c>
      <c r="C204" s="3">
        <v>10</v>
      </c>
      <c r="D204" t="s">
        <v>16</v>
      </c>
      <c r="E204" s="3">
        <v>9</v>
      </c>
      <c r="F204" s="3" t="s">
        <v>174</v>
      </c>
      <c r="G204" s="1">
        <v>30</v>
      </c>
    </row>
    <row r="205" spans="1:7" hidden="1">
      <c r="A205" s="5" t="s">
        <v>87</v>
      </c>
      <c r="B205" s="3" t="s">
        <v>87</v>
      </c>
      <c r="C205" s="3">
        <v>10</v>
      </c>
      <c r="D205" t="s">
        <v>16</v>
      </c>
      <c r="E205" s="3">
        <v>9</v>
      </c>
      <c r="F205" s="3" t="s">
        <v>174</v>
      </c>
      <c r="G205" s="1">
        <v>30</v>
      </c>
    </row>
    <row r="206" spans="1:7" hidden="1">
      <c r="A206" s="4" t="s">
        <v>87</v>
      </c>
      <c r="B206" s="3" t="s">
        <v>87</v>
      </c>
      <c r="C206" s="3">
        <v>10</v>
      </c>
      <c r="D206" t="s">
        <v>16</v>
      </c>
      <c r="E206" s="3">
        <v>9</v>
      </c>
      <c r="F206" s="3" t="s">
        <v>174</v>
      </c>
      <c r="G206" s="1">
        <v>30</v>
      </c>
    </row>
    <row r="207" spans="1:7">
      <c r="A207" s="5" t="s">
        <v>87</v>
      </c>
      <c r="B207" s="3" t="s">
        <v>87</v>
      </c>
      <c r="C207" s="3">
        <v>10</v>
      </c>
      <c r="D207" t="s">
        <v>16</v>
      </c>
      <c r="E207" s="3">
        <v>11</v>
      </c>
      <c r="F207" s="3" t="s">
        <v>173</v>
      </c>
      <c r="G207" s="1">
        <v>30</v>
      </c>
    </row>
    <row r="208" spans="1:7">
      <c r="A208" s="4" t="s">
        <v>87</v>
      </c>
      <c r="B208" s="3" t="s">
        <v>87</v>
      </c>
      <c r="C208" s="3">
        <v>10</v>
      </c>
      <c r="D208" t="s">
        <v>16</v>
      </c>
      <c r="E208" s="3">
        <v>11</v>
      </c>
      <c r="F208" s="3" t="s">
        <v>173</v>
      </c>
      <c r="G208" s="1">
        <v>33</v>
      </c>
    </row>
    <row r="209" spans="1:7" hidden="1">
      <c r="A209" s="4" t="s">
        <v>155</v>
      </c>
      <c r="B209" s="3" t="s">
        <v>155</v>
      </c>
      <c r="C209" s="3">
        <v>10</v>
      </c>
      <c r="D209" t="s">
        <v>16</v>
      </c>
      <c r="E209" s="3">
        <v>7</v>
      </c>
      <c r="F209" s="3" t="s">
        <v>172</v>
      </c>
      <c r="G209" s="1">
        <v>25</v>
      </c>
    </row>
    <row r="210" spans="1:7" hidden="1">
      <c r="A210" s="5" t="s">
        <v>125</v>
      </c>
      <c r="B210" s="3" t="s">
        <v>125</v>
      </c>
      <c r="C210" s="3">
        <v>11</v>
      </c>
      <c r="D210" t="s">
        <v>7</v>
      </c>
      <c r="E210" s="3">
        <v>7</v>
      </c>
      <c r="F210" s="3" t="s">
        <v>172</v>
      </c>
      <c r="G210" s="1">
        <v>24</v>
      </c>
    </row>
    <row r="211" spans="1:7" hidden="1">
      <c r="A211" s="5" t="s">
        <v>125</v>
      </c>
      <c r="B211" s="3" t="s">
        <v>125</v>
      </c>
      <c r="C211" s="3">
        <v>11</v>
      </c>
      <c r="D211" t="s">
        <v>7</v>
      </c>
      <c r="E211" s="3">
        <v>7</v>
      </c>
      <c r="F211" s="3" t="s">
        <v>172</v>
      </c>
      <c r="G211" s="1">
        <v>26</v>
      </c>
    </row>
    <row r="212" spans="1:7" hidden="1">
      <c r="A212" s="4" t="s">
        <v>125</v>
      </c>
      <c r="B212" s="3" t="s">
        <v>125</v>
      </c>
      <c r="C212" s="3">
        <v>11</v>
      </c>
      <c r="D212" t="s">
        <v>7</v>
      </c>
      <c r="E212" s="3">
        <v>9</v>
      </c>
      <c r="F212" s="3" t="s">
        <v>174</v>
      </c>
      <c r="G212" s="1">
        <v>30</v>
      </c>
    </row>
    <row r="213" spans="1:7" hidden="1">
      <c r="A213" s="5" t="s">
        <v>125</v>
      </c>
      <c r="B213" s="3" t="s">
        <v>125</v>
      </c>
      <c r="C213" s="3">
        <v>11</v>
      </c>
      <c r="D213" t="s">
        <v>7</v>
      </c>
      <c r="E213" s="3">
        <v>9</v>
      </c>
      <c r="F213" s="3" t="s">
        <v>174</v>
      </c>
      <c r="G213" s="1">
        <v>29</v>
      </c>
    </row>
    <row r="214" spans="1:7">
      <c r="A214" s="4" t="s">
        <v>125</v>
      </c>
      <c r="B214" s="3" t="s">
        <v>125</v>
      </c>
      <c r="C214" s="3">
        <v>11</v>
      </c>
      <c r="D214" t="s">
        <v>7</v>
      </c>
      <c r="E214" s="3">
        <v>11</v>
      </c>
      <c r="F214" s="3" t="s">
        <v>173</v>
      </c>
      <c r="G214" s="1">
        <v>28</v>
      </c>
    </row>
    <row r="215" spans="1:7" hidden="1">
      <c r="A215" s="3" t="s">
        <v>26</v>
      </c>
      <c r="B215" s="3" t="s">
        <v>26</v>
      </c>
      <c r="C215" s="3">
        <v>12</v>
      </c>
      <c r="D215" t="s">
        <v>8</v>
      </c>
      <c r="E215" s="3">
        <v>7</v>
      </c>
      <c r="F215" s="3" t="s">
        <v>172</v>
      </c>
      <c r="G215" s="1">
        <v>27</v>
      </c>
    </row>
    <row r="216" spans="1:7" hidden="1">
      <c r="A216" s="3" t="s">
        <v>26</v>
      </c>
      <c r="B216" s="3" t="s">
        <v>26</v>
      </c>
      <c r="C216" s="3">
        <v>12</v>
      </c>
      <c r="D216" t="s">
        <v>8</v>
      </c>
      <c r="E216" s="3">
        <v>9</v>
      </c>
      <c r="F216" s="3" t="s">
        <v>174</v>
      </c>
      <c r="G216" s="1">
        <v>30</v>
      </c>
    </row>
    <row r="217" spans="1:7">
      <c r="A217" s="5" t="s">
        <v>26</v>
      </c>
      <c r="B217" s="3" t="s">
        <v>26</v>
      </c>
      <c r="C217" s="3">
        <v>12</v>
      </c>
      <c r="D217" t="s">
        <v>8</v>
      </c>
      <c r="E217" s="3">
        <v>11</v>
      </c>
      <c r="F217" s="3" t="s">
        <v>173</v>
      </c>
      <c r="G217" s="1">
        <v>20</v>
      </c>
    </row>
    <row r="218" spans="1:7" hidden="1">
      <c r="A218" s="5" t="s">
        <v>39</v>
      </c>
      <c r="B218" s="3" t="s">
        <v>39</v>
      </c>
      <c r="C218" s="3">
        <v>12</v>
      </c>
      <c r="D218" t="s">
        <v>16</v>
      </c>
      <c r="E218" s="3">
        <v>7</v>
      </c>
      <c r="F218" s="3" t="s">
        <v>172</v>
      </c>
      <c r="G218" s="1">
        <v>29</v>
      </c>
    </row>
    <row r="219" spans="1:7" hidden="1">
      <c r="A219" s="4" t="s">
        <v>162</v>
      </c>
      <c r="B219" s="3" t="s">
        <v>162</v>
      </c>
      <c r="C219" s="3">
        <v>12</v>
      </c>
      <c r="D219" t="s">
        <v>16</v>
      </c>
      <c r="E219" s="3">
        <v>7</v>
      </c>
      <c r="F219" s="3" t="s">
        <v>172</v>
      </c>
      <c r="G219" s="1">
        <v>28</v>
      </c>
    </row>
    <row r="220" spans="1:7" hidden="1">
      <c r="A220" s="5" t="s">
        <v>162</v>
      </c>
      <c r="B220" s="3" t="s">
        <v>162</v>
      </c>
      <c r="C220" s="3">
        <v>12</v>
      </c>
      <c r="D220" t="s">
        <v>16</v>
      </c>
      <c r="E220" s="3">
        <v>7</v>
      </c>
      <c r="F220" s="3" t="s">
        <v>172</v>
      </c>
      <c r="G220" s="1">
        <v>27</v>
      </c>
    </row>
    <row r="221" spans="1:7" hidden="1">
      <c r="A221" s="5" t="s">
        <v>162</v>
      </c>
      <c r="B221" s="3" t="s">
        <v>162</v>
      </c>
      <c r="C221" s="3">
        <v>12</v>
      </c>
      <c r="D221" t="s">
        <v>16</v>
      </c>
      <c r="E221" s="3">
        <v>9</v>
      </c>
      <c r="F221" s="3" t="s">
        <v>174</v>
      </c>
      <c r="G221" s="1">
        <v>25</v>
      </c>
    </row>
    <row r="222" spans="1:7" hidden="1">
      <c r="A222" s="5" t="s">
        <v>162</v>
      </c>
      <c r="B222" s="3" t="s">
        <v>162</v>
      </c>
      <c r="C222" s="3">
        <v>12</v>
      </c>
      <c r="D222" t="s">
        <v>16</v>
      </c>
      <c r="E222" s="3">
        <v>9</v>
      </c>
      <c r="F222" s="3" t="s">
        <v>174</v>
      </c>
      <c r="G222" s="1">
        <v>24</v>
      </c>
    </row>
    <row r="223" spans="1:7" hidden="1">
      <c r="A223" s="4" t="s">
        <v>162</v>
      </c>
      <c r="B223" s="3" t="s">
        <v>162</v>
      </c>
      <c r="C223" s="3">
        <v>12</v>
      </c>
      <c r="D223" t="s">
        <v>16</v>
      </c>
      <c r="E223" s="3">
        <v>9</v>
      </c>
      <c r="F223" s="3" t="s">
        <v>174</v>
      </c>
      <c r="G223" s="1">
        <v>25</v>
      </c>
    </row>
    <row r="224" spans="1:7" hidden="1">
      <c r="A224" s="4" t="s">
        <v>162</v>
      </c>
      <c r="B224" s="3" t="s">
        <v>162</v>
      </c>
      <c r="C224" s="3">
        <v>12</v>
      </c>
      <c r="D224" t="s">
        <v>16</v>
      </c>
      <c r="E224" s="3">
        <v>9</v>
      </c>
      <c r="F224" s="3" t="s">
        <v>174</v>
      </c>
      <c r="G224" s="1">
        <v>23</v>
      </c>
    </row>
    <row r="225" spans="1:7">
      <c r="A225" s="5" t="s">
        <v>162</v>
      </c>
      <c r="B225" s="3" t="s">
        <v>162</v>
      </c>
      <c r="C225" s="3">
        <v>12</v>
      </c>
      <c r="D225" t="s">
        <v>16</v>
      </c>
      <c r="E225" s="3">
        <v>11</v>
      </c>
      <c r="F225" s="3" t="s">
        <v>173</v>
      </c>
      <c r="G225" s="1">
        <v>28</v>
      </c>
    </row>
    <row r="226" spans="1:7" hidden="1">
      <c r="A226" s="5" t="s">
        <v>54</v>
      </c>
      <c r="B226" s="3" t="s">
        <v>54</v>
      </c>
      <c r="C226" s="3">
        <v>13</v>
      </c>
      <c r="D226" t="s">
        <v>8</v>
      </c>
      <c r="E226" s="3">
        <v>7</v>
      </c>
      <c r="F226" s="3" t="s">
        <v>172</v>
      </c>
      <c r="G226" s="1">
        <v>23</v>
      </c>
    </row>
    <row r="227" spans="1:7">
      <c r="A227" s="4" t="s">
        <v>54</v>
      </c>
      <c r="B227" s="3" t="s">
        <v>54</v>
      </c>
      <c r="C227" s="3">
        <v>13</v>
      </c>
      <c r="D227" t="s">
        <v>8</v>
      </c>
      <c r="E227" s="3">
        <v>11</v>
      </c>
      <c r="F227" s="3" t="s">
        <v>173</v>
      </c>
      <c r="G227" s="1">
        <v>20</v>
      </c>
    </row>
    <row r="228" spans="1:7" hidden="1">
      <c r="A228" s="5" t="s">
        <v>112</v>
      </c>
      <c r="B228" s="3" t="s">
        <v>112</v>
      </c>
      <c r="C228" s="3">
        <v>13</v>
      </c>
      <c r="D228" t="s">
        <v>7</v>
      </c>
      <c r="E228" s="3">
        <v>7</v>
      </c>
      <c r="F228" s="3" t="s">
        <v>172</v>
      </c>
      <c r="G228" s="1">
        <v>28</v>
      </c>
    </row>
    <row r="229" spans="1:7" hidden="1">
      <c r="A229" s="5" t="s">
        <v>112</v>
      </c>
      <c r="B229" s="3" t="s">
        <v>112</v>
      </c>
      <c r="C229" s="3">
        <v>13</v>
      </c>
      <c r="D229" t="s">
        <v>7</v>
      </c>
      <c r="E229" s="3">
        <v>9</v>
      </c>
      <c r="F229" s="3" t="s">
        <v>174</v>
      </c>
      <c r="G229" s="1">
        <v>30</v>
      </c>
    </row>
    <row r="230" spans="1:7">
      <c r="A230" s="5" t="s">
        <v>112</v>
      </c>
      <c r="B230" s="3" t="s">
        <v>112</v>
      </c>
      <c r="C230" s="3">
        <v>13</v>
      </c>
      <c r="D230" t="s">
        <v>7</v>
      </c>
      <c r="E230" s="3">
        <v>11</v>
      </c>
      <c r="F230" s="3" t="s">
        <v>173</v>
      </c>
      <c r="G230" s="1">
        <v>24</v>
      </c>
    </row>
    <row r="231" spans="1:7" hidden="1">
      <c r="A231" s="5" t="s">
        <v>89</v>
      </c>
      <c r="B231" s="3" t="s">
        <v>89</v>
      </c>
      <c r="C231" s="3">
        <v>14</v>
      </c>
      <c r="D231" t="s">
        <v>7</v>
      </c>
      <c r="E231" s="3">
        <v>7</v>
      </c>
      <c r="F231" s="3" t="s">
        <v>172</v>
      </c>
      <c r="G231" s="1">
        <v>27</v>
      </c>
    </row>
    <row r="232" spans="1:7" hidden="1">
      <c r="A232" s="5" t="s">
        <v>89</v>
      </c>
      <c r="B232" s="3" t="s">
        <v>89</v>
      </c>
      <c r="C232" s="3">
        <v>14</v>
      </c>
      <c r="D232" t="s">
        <v>7</v>
      </c>
      <c r="E232" s="3">
        <v>7</v>
      </c>
      <c r="F232" s="3" t="s">
        <v>172</v>
      </c>
      <c r="G232" s="1">
        <v>29</v>
      </c>
    </row>
    <row r="233" spans="1:7" hidden="1">
      <c r="A233" s="4" t="s">
        <v>89</v>
      </c>
      <c r="B233" s="3" t="s">
        <v>89</v>
      </c>
      <c r="C233" s="3">
        <v>14</v>
      </c>
      <c r="D233" t="s">
        <v>7</v>
      </c>
      <c r="E233" s="3">
        <v>7</v>
      </c>
      <c r="F233" s="3" t="s">
        <v>172</v>
      </c>
      <c r="G233" s="1">
        <v>7</v>
      </c>
    </row>
    <row r="234" spans="1:7" hidden="1">
      <c r="A234" s="5" t="s">
        <v>89</v>
      </c>
      <c r="B234" s="3" t="s">
        <v>89</v>
      </c>
      <c r="C234" s="3">
        <v>14</v>
      </c>
      <c r="D234" t="s">
        <v>7</v>
      </c>
      <c r="E234" s="3">
        <v>9</v>
      </c>
      <c r="F234" s="3" t="s">
        <v>174</v>
      </c>
      <c r="G234" s="1">
        <v>30</v>
      </c>
    </row>
    <row r="235" spans="1:7" hidden="1">
      <c r="A235" s="4" t="s">
        <v>89</v>
      </c>
      <c r="B235" s="3" t="s">
        <v>89</v>
      </c>
      <c r="C235" s="3">
        <v>14</v>
      </c>
      <c r="D235" t="s">
        <v>7</v>
      </c>
      <c r="E235" s="3">
        <v>9</v>
      </c>
      <c r="F235" s="3" t="s">
        <v>174</v>
      </c>
      <c r="G235" s="1">
        <v>30</v>
      </c>
    </row>
    <row r="236" spans="1:7" hidden="1">
      <c r="A236" s="5" t="s">
        <v>89</v>
      </c>
      <c r="B236" s="3" t="s">
        <v>89</v>
      </c>
      <c r="C236" s="3">
        <v>14</v>
      </c>
      <c r="D236" t="s">
        <v>7</v>
      </c>
      <c r="E236" s="3">
        <v>9</v>
      </c>
      <c r="F236" s="3" t="s">
        <v>174</v>
      </c>
      <c r="G236" s="1">
        <v>30</v>
      </c>
    </row>
    <row r="237" spans="1:7">
      <c r="A237" s="4" t="s">
        <v>89</v>
      </c>
      <c r="B237" s="3" t="s">
        <v>89</v>
      </c>
      <c r="C237" s="3">
        <v>14</v>
      </c>
      <c r="D237" t="s">
        <v>7</v>
      </c>
      <c r="E237" s="3">
        <v>11</v>
      </c>
      <c r="F237" s="3" t="s">
        <v>173</v>
      </c>
      <c r="G237" s="1">
        <v>20</v>
      </c>
    </row>
    <row r="238" spans="1:7">
      <c r="A238" s="4" t="s">
        <v>89</v>
      </c>
      <c r="B238" s="3" t="s">
        <v>89</v>
      </c>
      <c r="C238" s="3">
        <v>14</v>
      </c>
      <c r="D238" t="s">
        <v>7</v>
      </c>
      <c r="E238" s="3">
        <v>11</v>
      </c>
      <c r="F238" s="3" t="s">
        <v>173</v>
      </c>
      <c r="G238" s="1">
        <v>26</v>
      </c>
    </row>
    <row r="239" spans="1:7" hidden="1">
      <c r="A239" s="4" t="s">
        <v>136</v>
      </c>
      <c r="B239" s="3" t="s">
        <v>136</v>
      </c>
      <c r="C239" s="3">
        <v>15</v>
      </c>
      <c r="D239" t="s">
        <v>16</v>
      </c>
      <c r="E239" s="3">
        <v>7</v>
      </c>
      <c r="F239" s="3" t="s">
        <v>172</v>
      </c>
      <c r="G239" s="1">
        <v>24</v>
      </c>
    </row>
    <row r="240" spans="1:7" hidden="1">
      <c r="A240" s="4" t="s">
        <v>136</v>
      </c>
      <c r="B240" s="3" t="s">
        <v>136</v>
      </c>
      <c r="C240" s="3">
        <v>15</v>
      </c>
      <c r="D240" t="s">
        <v>16</v>
      </c>
      <c r="E240" s="3">
        <v>9</v>
      </c>
      <c r="F240" s="3" t="s">
        <v>174</v>
      </c>
      <c r="G240" s="1">
        <v>12</v>
      </c>
    </row>
    <row r="241" spans="1:7" hidden="1">
      <c r="A241" s="5" t="s">
        <v>44</v>
      </c>
      <c r="B241" s="3" t="s">
        <v>44</v>
      </c>
      <c r="C241" s="3">
        <v>16</v>
      </c>
      <c r="D241" t="s">
        <v>8</v>
      </c>
      <c r="E241" s="3">
        <v>7</v>
      </c>
      <c r="F241" s="3" t="s">
        <v>172</v>
      </c>
      <c r="G241" s="1">
        <v>30</v>
      </c>
    </row>
    <row r="242" spans="1:7" hidden="1">
      <c r="A242" s="5" t="s">
        <v>44</v>
      </c>
      <c r="B242" s="3" t="s">
        <v>44</v>
      </c>
      <c r="C242" s="3">
        <v>16</v>
      </c>
      <c r="D242" t="s">
        <v>8</v>
      </c>
      <c r="E242" s="3">
        <v>7</v>
      </c>
      <c r="F242" s="3" t="s">
        <v>172</v>
      </c>
      <c r="G242" s="1">
        <v>30</v>
      </c>
    </row>
    <row r="243" spans="1:7" hidden="1">
      <c r="A243" s="5" t="s">
        <v>44</v>
      </c>
      <c r="B243" s="3" t="s">
        <v>44</v>
      </c>
      <c r="C243" s="3">
        <v>16</v>
      </c>
      <c r="D243" t="s">
        <v>8</v>
      </c>
      <c r="E243" s="3">
        <v>9</v>
      </c>
      <c r="F243" s="3" t="s">
        <v>174</v>
      </c>
      <c r="G243" s="1">
        <v>33</v>
      </c>
    </row>
    <row r="244" spans="1:7" hidden="1">
      <c r="A244" s="5" t="s">
        <v>104</v>
      </c>
      <c r="B244" s="3" t="s">
        <v>105</v>
      </c>
      <c r="C244" s="3">
        <v>16</v>
      </c>
      <c r="D244" t="s">
        <v>7</v>
      </c>
      <c r="E244" s="3">
        <v>7</v>
      </c>
      <c r="F244" s="3" t="s">
        <v>172</v>
      </c>
      <c r="G244" s="1">
        <v>19</v>
      </c>
    </row>
    <row r="245" spans="1:7" hidden="1">
      <c r="A245" s="5" t="s">
        <v>121</v>
      </c>
      <c r="B245" s="3" t="s">
        <v>122</v>
      </c>
      <c r="C245" s="3">
        <v>60</v>
      </c>
      <c r="D245" t="s">
        <v>16</v>
      </c>
      <c r="E245" s="3">
        <v>7</v>
      </c>
      <c r="F245" s="3" t="s">
        <v>172</v>
      </c>
      <c r="G245" s="1">
        <v>18</v>
      </c>
    </row>
    <row r="246" spans="1:7" hidden="1">
      <c r="A246" s="4" t="s">
        <v>121</v>
      </c>
      <c r="B246" s="3" t="s">
        <v>122</v>
      </c>
      <c r="C246" s="3">
        <v>60</v>
      </c>
      <c r="D246" t="s">
        <v>16</v>
      </c>
      <c r="E246" s="3">
        <v>7</v>
      </c>
      <c r="F246" s="3" t="s">
        <v>172</v>
      </c>
      <c r="G246" s="1">
        <v>24</v>
      </c>
    </row>
    <row r="247" spans="1:7" hidden="1">
      <c r="A247" s="5" t="s">
        <v>121</v>
      </c>
      <c r="B247" s="3" t="s">
        <v>122</v>
      </c>
      <c r="C247" s="3">
        <v>60</v>
      </c>
      <c r="D247" t="s">
        <v>16</v>
      </c>
      <c r="E247" s="3">
        <v>7</v>
      </c>
      <c r="F247" s="3" t="s">
        <v>172</v>
      </c>
      <c r="G247" s="1">
        <v>17</v>
      </c>
    </row>
    <row r="248" spans="1:7" hidden="1">
      <c r="A248" s="4" t="s">
        <v>121</v>
      </c>
      <c r="B248" s="3" t="s">
        <v>122</v>
      </c>
      <c r="C248" s="3">
        <v>60</v>
      </c>
      <c r="D248" t="s">
        <v>16</v>
      </c>
      <c r="E248" s="3">
        <v>9</v>
      </c>
      <c r="F248" s="3" t="s">
        <v>174</v>
      </c>
      <c r="G248" s="1">
        <v>18</v>
      </c>
    </row>
    <row r="249" spans="1:7" hidden="1">
      <c r="A249" s="5" t="s">
        <v>121</v>
      </c>
      <c r="B249" s="3" t="s">
        <v>122</v>
      </c>
      <c r="C249" s="3">
        <v>60</v>
      </c>
      <c r="D249" t="s">
        <v>16</v>
      </c>
      <c r="E249" s="3">
        <v>9</v>
      </c>
      <c r="F249" s="3" t="s">
        <v>174</v>
      </c>
      <c r="G249" s="1">
        <v>26</v>
      </c>
    </row>
    <row r="250" spans="1:7">
      <c r="A250" s="5" t="s">
        <v>121</v>
      </c>
      <c r="B250" s="3" t="s">
        <v>122</v>
      </c>
      <c r="C250" s="3">
        <v>60</v>
      </c>
      <c r="D250" t="s">
        <v>7</v>
      </c>
      <c r="E250" s="3">
        <v>11</v>
      </c>
      <c r="F250" s="3" t="s">
        <v>173</v>
      </c>
      <c r="G250" s="1">
        <v>22</v>
      </c>
    </row>
    <row r="251" spans="1:7">
      <c r="A251" s="5" t="s">
        <v>121</v>
      </c>
      <c r="B251" s="3" t="s">
        <v>122</v>
      </c>
      <c r="C251" s="3">
        <v>60</v>
      </c>
      <c r="D251" t="s">
        <v>7</v>
      </c>
      <c r="E251" s="3">
        <v>11</v>
      </c>
      <c r="F251" s="3" t="s">
        <v>173</v>
      </c>
      <c r="G251" s="1">
        <v>23</v>
      </c>
    </row>
    <row r="252" spans="1:7" hidden="1">
      <c r="A252" s="4" t="s">
        <v>135</v>
      </c>
      <c r="B252" s="3" t="s">
        <v>135</v>
      </c>
      <c r="C252" s="3">
        <v>60</v>
      </c>
      <c r="D252" t="s">
        <v>16</v>
      </c>
      <c r="E252" s="3">
        <v>7</v>
      </c>
      <c r="F252" s="3" t="s">
        <v>172</v>
      </c>
      <c r="G252" s="1">
        <v>29</v>
      </c>
    </row>
    <row r="253" spans="1:7" hidden="1">
      <c r="A253" s="5" t="s">
        <v>135</v>
      </c>
      <c r="B253" s="3" t="s">
        <v>135</v>
      </c>
      <c r="C253" s="3">
        <v>60</v>
      </c>
      <c r="D253" t="s">
        <v>16</v>
      </c>
      <c r="E253" s="3">
        <v>9</v>
      </c>
      <c r="F253" s="3" t="s">
        <v>174</v>
      </c>
      <c r="G253" s="1">
        <v>18</v>
      </c>
    </row>
    <row r="254" spans="1:7" hidden="1">
      <c r="A254" s="4" t="s">
        <v>135</v>
      </c>
      <c r="B254" s="3" t="s">
        <v>135</v>
      </c>
      <c r="C254" s="3">
        <v>60</v>
      </c>
      <c r="D254" t="s">
        <v>16</v>
      </c>
      <c r="E254" s="3">
        <v>9</v>
      </c>
      <c r="F254" s="3" t="s">
        <v>174</v>
      </c>
      <c r="G254" s="1">
        <v>24</v>
      </c>
    </row>
    <row r="255" spans="1:7" hidden="1">
      <c r="A255" s="5" t="s">
        <v>156</v>
      </c>
      <c r="B255" s="3" t="s">
        <v>156</v>
      </c>
      <c r="C255" s="3">
        <v>60</v>
      </c>
      <c r="D255" t="s">
        <v>8</v>
      </c>
      <c r="E255" s="3">
        <v>7</v>
      </c>
      <c r="F255" s="3" t="s">
        <v>172</v>
      </c>
      <c r="G255" s="1">
        <v>28</v>
      </c>
    </row>
    <row r="256" spans="1:7" hidden="1">
      <c r="A256" s="5" t="s">
        <v>47</v>
      </c>
      <c r="B256" s="3" t="s">
        <v>48</v>
      </c>
      <c r="C256" s="3">
        <v>70</v>
      </c>
      <c r="D256" t="s">
        <v>8</v>
      </c>
      <c r="E256" s="3">
        <v>7</v>
      </c>
      <c r="F256" s="3" t="s">
        <v>172</v>
      </c>
      <c r="G256" s="1">
        <v>28</v>
      </c>
    </row>
    <row r="257" spans="1:7" hidden="1">
      <c r="A257" s="5" t="s">
        <v>47</v>
      </c>
      <c r="B257" s="3" t="s">
        <v>48</v>
      </c>
      <c r="C257" s="3">
        <v>70</v>
      </c>
      <c r="D257" t="s">
        <v>8</v>
      </c>
      <c r="E257" s="3">
        <v>7</v>
      </c>
      <c r="F257" s="3" t="s">
        <v>172</v>
      </c>
      <c r="G257" s="1">
        <v>29</v>
      </c>
    </row>
    <row r="258" spans="1:7" hidden="1">
      <c r="A258" s="5" t="s">
        <v>47</v>
      </c>
      <c r="B258" s="3" t="s">
        <v>48</v>
      </c>
      <c r="C258" s="3">
        <v>70</v>
      </c>
      <c r="D258" t="s">
        <v>7</v>
      </c>
      <c r="E258" s="3">
        <v>9</v>
      </c>
      <c r="F258" s="3" t="s">
        <v>174</v>
      </c>
      <c r="G258" s="1">
        <v>30</v>
      </c>
    </row>
    <row r="259" spans="1:7" hidden="1">
      <c r="A259" s="3" t="s">
        <v>28</v>
      </c>
      <c r="B259" s="3" t="s">
        <v>28</v>
      </c>
      <c r="C259" s="3">
        <v>80</v>
      </c>
      <c r="D259" t="s">
        <v>7</v>
      </c>
      <c r="E259" s="3">
        <v>9</v>
      </c>
      <c r="F259" s="3" t="s">
        <v>174</v>
      </c>
      <c r="G259" s="1">
        <v>30</v>
      </c>
    </row>
    <row r="260" spans="1:7">
      <c r="A260" s="3" t="s">
        <v>28</v>
      </c>
      <c r="B260" s="3" t="s">
        <v>28</v>
      </c>
      <c r="C260" s="3">
        <v>80</v>
      </c>
      <c r="D260" t="s">
        <v>7</v>
      </c>
      <c r="E260" s="3">
        <v>11</v>
      </c>
      <c r="F260" s="3" t="s">
        <v>173</v>
      </c>
      <c r="G260" s="1">
        <v>30</v>
      </c>
    </row>
    <row r="261" spans="1:7" hidden="1">
      <c r="A261" s="4" t="s">
        <v>28</v>
      </c>
      <c r="B261" s="3" t="s">
        <v>29</v>
      </c>
      <c r="C261" s="3">
        <v>80</v>
      </c>
      <c r="D261" t="s">
        <v>7</v>
      </c>
      <c r="E261" s="3">
        <v>7</v>
      </c>
      <c r="F261" s="3" t="s">
        <v>172</v>
      </c>
      <c r="G261" s="1">
        <v>30</v>
      </c>
    </row>
    <row r="262" spans="1:7" hidden="1">
      <c r="A262" s="4" t="s">
        <v>133</v>
      </c>
      <c r="B262" s="3" t="s">
        <v>133</v>
      </c>
      <c r="C262" s="3">
        <v>80</v>
      </c>
      <c r="D262" t="s">
        <v>8</v>
      </c>
      <c r="E262" s="3">
        <v>7</v>
      </c>
      <c r="F262" s="3" t="s">
        <v>172</v>
      </c>
      <c r="G262" s="1">
        <v>29</v>
      </c>
    </row>
    <row r="263" spans="1:7" hidden="1">
      <c r="A263" s="4" t="s">
        <v>133</v>
      </c>
      <c r="B263" s="3" t="s">
        <v>133</v>
      </c>
      <c r="C263" s="3">
        <v>80</v>
      </c>
      <c r="D263" t="s">
        <v>7</v>
      </c>
      <c r="E263" s="3">
        <v>9</v>
      </c>
      <c r="F263" s="3" t="s">
        <v>174</v>
      </c>
      <c r="G263" s="1">
        <v>25</v>
      </c>
    </row>
    <row r="264" spans="1:7" hidden="1">
      <c r="A264" s="5" t="s">
        <v>157</v>
      </c>
      <c r="B264" s="3" t="s">
        <v>157</v>
      </c>
      <c r="C264" s="3">
        <v>80</v>
      </c>
      <c r="D264" t="s">
        <v>7</v>
      </c>
      <c r="E264" s="3">
        <v>7</v>
      </c>
      <c r="F264" s="3" t="s">
        <v>172</v>
      </c>
      <c r="G264" s="1">
        <v>30</v>
      </c>
    </row>
    <row r="265" spans="1:7" hidden="1">
      <c r="A265" s="5" t="s">
        <v>157</v>
      </c>
      <c r="B265" s="3" t="s">
        <v>157</v>
      </c>
      <c r="C265" s="3">
        <v>80</v>
      </c>
      <c r="D265" t="s">
        <v>7</v>
      </c>
      <c r="E265" s="3">
        <v>7</v>
      </c>
      <c r="F265" s="3" t="s">
        <v>172</v>
      </c>
      <c r="G265" s="1">
        <v>30</v>
      </c>
    </row>
    <row r="266" spans="1:7" hidden="1">
      <c r="A266" s="5" t="s">
        <v>157</v>
      </c>
      <c r="B266" s="3" t="s">
        <v>157</v>
      </c>
      <c r="C266" s="3">
        <v>80</v>
      </c>
      <c r="D266" t="s">
        <v>7</v>
      </c>
      <c r="E266" s="3">
        <v>7</v>
      </c>
      <c r="F266" s="3" t="s">
        <v>172</v>
      </c>
      <c r="G266" s="1">
        <v>30</v>
      </c>
    </row>
    <row r="267" spans="1:7" hidden="1">
      <c r="A267" s="5" t="s">
        <v>157</v>
      </c>
      <c r="B267" s="3" t="s">
        <v>157</v>
      </c>
      <c r="C267" s="3">
        <v>80</v>
      </c>
      <c r="D267" t="s">
        <v>7</v>
      </c>
      <c r="E267" s="3">
        <v>9</v>
      </c>
      <c r="F267" s="3" t="s">
        <v>174</v>
      </c>
      <c r="G267" s="1">
        <v>28</v>
      </c>
    </row>
    <row r="268" spans="1:7" hidden="1">
      <c r="A268" s="5" t="s">
        <v>157</v>
      </c>
      <c r="B268" s="3" t="s">
        <v>157</v>
      </c>
      <c r="C268" s="3">
        <v>80</v>
      </c>
      <c r="D268" t="s">
        <v>7</v>
      </c>
      <c r="E268" s="3">
        <v>9</v>
      </c>
      <c r="F268" s="3" t="s">
        <v>174</v>
      </c>
      <c r="G268" s="1">
        <v>27</v>
      </c>
    </row>
    <row r="269" spans="1:7" hidden="1">
      <c r="A269" s="4" t="s">
        <v>157</v>
      </c>
      <c r="B269" s="3" t="s">
        <v>157</v>
      </c>
      <c r="C269" s="3">
        <v>80</v>
      </c>
      <c r="D269" t="s">
        <v>7</v>
      </c>
      <c r="E269" s="3">
        <v>9</v>
      </c>
      <c r="F269" s="3" t="s">
        <v>174</v>
      </c>
      <c r="G269" s="1">
        <v>26</v>
      </c>
    </row>
    <row r="270" spans="1:7" hidden="1">
      <c r="A270" s="6" t="s">
        <v>171</v>
      </c>
      <c r="B270" s="6"/>
      <c r="C270" s="6"/>
      <c r="D270" s="6"/>
      <c r="E270" s="6"/>
      <c r="F270" s="6"/>
      <c r="G270" s="7">
        <v>6936</v>
      </c>
    </row>
  </sheetData>
  <autoFilter ref="A1:G270">
    <filterColumn colId="5">
      <filters>
        <filter val="PENSAR 3"/>
      </filters>
    </filterColumn>
    <sortState ref="A2:G270">
      <sortCondition ref="C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topLeftCell="H2" workbookViewId="0">
      <selection activeCell="M21" sqref="M21"/>
    </sheetView>
  </sheetViews>
  <sheetFormatPr baseColWidth="10" defaultRowHeight="14"/>
  <cols>
    <col min="1" max="1" width="9.7265625" customWidth="1"/>
    <col min="2" max="2" width="15.1796875" customWidth="1"/>
    <col min="4" max="5" width="15.6328125" customWidth="1"/>
    <col min="6" max="6" width="14.36328125" customWidth="1"/>
    <col min="8" max="8" width="14.6328125" customWidth="1"/>
    <col min="10" max="10" width="15.54296875" customWidth="1"/>
    <col min="12" max="12" width="16.7265625" customWidth="1"/>
  </cols>
  <sheetData>
    <row r="1" spans="1:13" ht="22.5" customHeight="1">
      <c r="A1" s="11" t="s">
        <v>181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8" customHeight="1">
      <c r="A2" s="11" t="s">
        <v>176</v>
      </c>
      <c r="B2" s="12" t="s">
        <v>175</v>
      </c>
      <c r="C2" s="12"/>
      <c r="D2" s="12" t="s">
        <v>177</v>
      </c>
      <c r="E2" s="12"/>
      <c r="F2" s="12" t="s">
        <v>172</v>
      </c>
      <c r="G2" s="12"/>
      <c r="H2" s="12" t="s">
        <v>174</v>
      </c>
      <c r="I2" s="12"/>
      <c r="J2" s="12" t="s">
        <v>173</v>
      </c>
      <c r="K2" s="12"/>
      <c r="L2" s="12" t="s">
        <v>180</v>
      </c>
      <c r="M2" s="12"/>
    </row>
    <row r="3" spans="1:13" ht="18" customHeight="1">
      <c r="A3" s="11"/>
      <c r="B3" s="13" t="s">
        <v>182</v>
      </c>
      <c r="C3" s="13" t="s">
        <v>183</v>
      </c>
      <c r="D3" s="13" t="s">
        <v>182</v>
      </c>
      <c r="E3" s="13" t="s">
        <v>183</v>
      </c>
      <c r="F3" s="13" t="s">
        <v>182</v>
      </c>
      <c r="G3" s="13" t="s">
        <v>183</v>
      </c>
      <c r="H3" s="13" t="s">
        <v>182</v>
      </c>
      <c r="I3" s="13" t="s">
        <v>183</v>
      </c>
      <c r="J3" s="13" t="s">
        <v>182</v>
      </c>
      <c r="K3" s="13" t="s">
        <v>183</v>
      </c>
      <c r="L3" s="13" t="s">
        <v>182</v>
      </c>
      <c r="M3" s="13" t="s">
        <v>183</v>
      </c>
    </row>
    <row r="4" spans="1:13">
      <c r="A4" s="14">
        <v>1</v>
      </c>
      <c r="B4" s="14">
        <v>220</v>
      </c>
      <c r="C4" s="14">
        <v>9</v>
      </c>
      <c r="D4" s="14">
        <v>253</v>
      </c>
      <c r="E4" s="14">
        <v>10</v>
      </c>
      <c r="F4" s="14">
        <v>249</v>
      </c>
      <c r="G4" s="14">
        <v>8</v>
      </c>
      <c r="H4" s="14">
        <v>221</v>
      </c>
      <c r="I4" s="14">
        <v>7</v>
      </c>
      <c r="J4" s="14">
        <v>110</v>
      </c>
      <c r="K4" s="14">
        <v>4</v>
      </c>
      <c r="L4" s="14">
        <f>B4+D4+F4+H4+J4</f>
        <v>1053</v>
      </c>
      <c r="M4" s="14">
        <f>C4+E4+G4+I4+K4</f>
        <v>38</v>
      </c>
    </row>
    <row r="5" spans="1:13">
      <c r="A5" s="14">
        <v>2</v>
      </c>
      <c r="B5" s="14">
        <v>134</v>
      </c>
      <c r="C5" s="14">
        <v>6</v>
      </c>
      <c r="D5" s="14">
        <v>244</v>
      </c>
      <c r="E5" s="14">
        <v>10</v>
      </c>
      <c r="F5" s="14">
        <v>227</v>
      </c>
      <c r="G5" s="14">
        <v>7</v>
      </c>
      <c r="H5" s="14">
        <v>194</v>
      </c>
      <c r="I5" s="14">
        <v>6</v>
      </c>
      <c r="J5" s="14">
        <v>86</v>
      </c>
      <c r="K5" s="14">
        <v>3</v>
      </c>
      <c r="L5" s="14">
        <f t="shared" ref="L5:L22" si="0">B5+D5+F5+H5+J5</f>
        <v>885</v>
      </c>
      <c r="M5" s="14">
        <f t="shared" ref="M5:M22" si="1">C5+E5+G5+I5+K5</f>
        <v>32</v>
      </c>
    </row>
    <row r="6" spans="1:13">
      <c r="A6" s="14">
        <v>3</v>
      </c>
      <c r="B6" s="14">
        <v>225</v>
      </c>
      <c r="C6" s="14">
        <f t="shared" ref="C5:C22" si="2">B6/25</f>
        <v>9</v>
      </c>
      <c r="D6" s="14">
        <v>298</v>
      </c>
      <c r="E6" s="14">
        <v>12</v>
      </c>
      <c r="F6" s="14">
        <v>287</v>
      </c>
      <c r="G6" s="14">
        <v>9</v>
      </c>
      <c r="H6" s="14">
        <v>242</v>
      </c>
      <c r="I6" s="14">
        <v>8</v>
      </c>
      <c r="J6" s="14">
        <v>66</v>
      </c>
      <c r="K6" s="14">
        <v>2</v>
      </c>
      <c r="L6" s="14">
        <f t="shared" si="0"/>
        <v>1118</v>
      </c>
      <c r="M6" s="14">
        <f t="shared" si="1"/>
        <v>40</v>
      </c>
    </row>
    <row r="7" spans="1:13">
      <c r="A7" s="14">
        <v>4</v>
      </c>
      <c r="B7" s="14">
        <v>193</v>
      </c>
      <c r="C7" s="14">
        <v>8</v>
      </c>
      <c r="D7" s="14">
        <v>223</v>
      </c>
      <c r="E7" s="14">
        <v>9</v>
      </c>
      <c r="F7" s="14">
        <v>363</v>
      </c>
      <c r="G7" s="14">
        <v>12</v>
      </c>
      <c r="H7" s="14">
        <v>241</v>
      </c>
      <c r="I7" s="14">
        <v>8</v>
      </c>
      <c r="J7" s="14">
        <v>147</v>
      </c>
      <c r="K7" s="14">
        <v>5</v>
      </c>
      <c r="L7" s="14">
        <f t="shared" si="0"/>
        <v>1167</v>
      </c>
      <c r="M7" s="14">
        <f t="shared" si="1"/>
        <v>42</v>
      </c>
    </row>
    <row r="8" spans="1:13">
      <c r="A8" s="14">
        <v>5</v>
      </c>
      <c r="B8" s="14">
        <v>112</v>
      </c>
      <c r="C8" s="14">
        <v>5</v>
      </c>
      <c r="D8" s="14">
        <v>140</v>
      </c>
      <c r="E8" s="14">
        <v>6</v>
      </c>
      <c r="F8" s="14">
        <v>240</v>
      </c>
      <c r="G8" s="14">
        <f t="shared" ref="G5:G22" si="3">F8/30</f>
        <v>8</v>
      </c>
      <c r="H8" s="14">
        <v>237</v>
      </c>
      <c r="I8" s="14">
        <v>8</v>
      </c>
      <c r="J8" s="14">
        <v>68</v>
      </c>
      <c r="K8" s="14">
        <v>2</v>
      </c>
      <c r="L8" s="14">
        <f t="shared" si="0"/>
        <v>797</v>
      </c>
      <c r="M8" s="14">
        <f t="shared" si="1"/>
        <v>29</v>
      </c>
    </row>
    <row r="9" spans="1:13">
      <c r="A9" s="14">
        <v>6</v>
      </c>
      <c r="B9" s="14">
        <v>94</v>
      </c>
      <c r="C9" s="14">
        <v>4</v>
      </c>
      <c r="D9" s="14">
        <v>149</v>
      </c>
      <c r="E9" s="14">
        <v>6</v>
      </c>
      <c r="F9" s="14">
        <v>265</v>
      </c>
      <c r="G9" s="14">
        <v>9</v>
      </c>
      <c r="H9" s="14">
        <v>226</v>
      </c>
      <c r="I9" s="14">
        <v>7</v>
      </c>
      <c r="J9" s="14">
        <v>106</v>
      </c>
      <c r="K9" s="14">
        <v>3</v>
      </c>
      <c r="L9" s="14">
        <f t="shared" si="0"/>
        <v>840</v>
      </c>
      <c r="M9" s="14">
        <f t="shared" si="1"/>
        <v>29</v>
      </c>
    </row>
    <row r="10" spans="1:13">
      <c r="A10" s="14">
        <v>7</v>
      </c>
      <c r="B10" s="14">
        <v>161</v>
      </c>
      <c r="C10" s="14">
        <v>7</v>
      </c>
      <c r="D10" s="14">
        <v>252</v>
      </c>
      <c r="E10" s="14">
        <v>10</v>
      </c>
      <c r="F10" s="14">
        <v>427</v>
      </c>
      <c r="G10" s="14">
        <v>14</v>
      </c>
      <c r="H10" s="14">
        <v>426</v>
      </c>
      <c r="I10" s="14">
        <v>14</v>
      </c>
      <c r="J10" s="14">
        <v>97</v>
      </c>
      <c r="K10" s="14">
        <v>3</v>
      </c>
      <c r="L10" s="14">
        <f t="shared" si="0"/>
        <v>1363</v>
      </c>
      <c r="M10" s="14">
        <f t="shared" si="1"/>
        <v>48</v>
      </c>
    </row>
    <row r="11" spans="1:13">
      <c r="A11" s="14">
        <v>8</v>
      </c>
      <c r="B11" s="14">
        <v>207</v>
      </c>
      <c r="C11" s="14">
        <v>9</v>
      </c>
      <c r="D11" s="14">
        <v>173</v>
      </c>
      <c r="E11" s="14">
        <v>7</v>
      </c>
      <c r="F11" s="14">
        <v>90</v>
      </c>
      <c r="G11" s="14">
        <f t="shared" si="3"/>
        <v>3</v>
      </c>
      <c r="H11" s="14">
        <v>75</v>
      </c>
      <c r="I11" s="14">
        <v>2</v>
      </c>
      <c r="J11" s="14"/>
      <c r="K11" s="14">
        <f t="shared" ref="K5:K22" si="4">J11/30</f>
        <v>0</v>
      </c>
      <c r="L11" s="14">
        <f t="shared" si="0"/>
        <v>545</v>
      </c>
      <c r="M11" s="14">
        <f t="shared" si="1"/>
        <v>21</v>
      </c>
    </row>
    <row r="12" spans="1:13">
      <c r="A12" s="14">
        <v>9</v>
      </c>
      <c r="B12" s="14">
        <v>30</v>
      </c>
      <c r="C12" s="14">
        <v>1</v>
      </c>
      <c r="D12" s="14">
        <v>46</v>
      </c>
      <c r="E12" s="14">
        <v>2</v>
      </c>
      <c r="F12" s="14">
        <v>115</v>
      </c>
      <c r="G12" s="14">
        <v>4</v>
      </c>
      <c r="H12" s="14">
        <v>109</v>
      </c>
      <c r="I12" s="14">
        <v>4</v>
      </c>
      <c r="J12" s="14">
        <v>29</v>
      </c>
      <c r="K12" s="14">
        <v>1</v>
      </c>
      <c r="L12" s="14">
        <f t="shared" si="0"/>
        <v>329</v>
      </c>
      <c r="M12" s="14">
        <f t="shared" si="1"/>
        <v>12</v>
      </c>
    </row>
    <row r="13" spans="1:13">
      <c r="A13" s="14">
        <v>10</v>
      </c>
      <c r="B13" s="14">
        <v>144</v>
      </c>
      <c r="C13" s="14">
        <v>6</v>
      </c>
      <c r="D13" s="14">
        <v>194</v>
      </c>
      <c r="E13" s="14">
        <v>8</v>
      </c>
      <c r="F13" s="14">
        <v>226</v>
      </c>
      <c r="G13" s="14">
        <v>7</v>
      </c>
      <c r="H13" s="14">
        <v>160</v>
      </c>
      <c r="I13" s="14">
        <v>5</v>
      </c>
      <c r="J13" s="14">
        <v>63</v>
      </c>
      <c r="K13" s="14">
        <v>2</v>
      </c>
      <c r="L13" s="14">
        <f t="shared" si="0"/>
        <v>787</v>
      </c>
      <c r="M13" s="14">
        <f t="shared" si="1"/>
        <v>28</v>
      </c>
    </row>
    <row r="14" spans="1:13">
      <c r="A14" s="14">
        <v>11</v>
      </c>
      <c r="B14" s="14">
        <v>17</v>
      </c>
      <c r="C14" s="14">
        <v>1</v>
      </c>
      <c r="D14" s="14">
        <v>63</v>
      </c>
      <c r="E14" s="14">
        <v>3</v>
      </c>
      <c r="F14" s="14">
        <v>50</v>
      </c>
      <c r="G14" s="14">
        <v>2</v>
      </c>
      <c r="H14" s="14">
        <v>59</v>
      </c>
      <c r="I14" s="14">
        <v>2</v>
      </c>
      <c r="J14" s="14">
        <v>28</v>
      </c>
      <c r="K14" s="14">
        <v>1</v>
      </c>
      <c r="L14" s="14">
        <f t="shared" si="0"/>
        <v>217</v>
      </c>
      <c r="M14" s="14">
        <f t="shared" si="1"/>
        <v>9</v>
      </c>
    </row>
    <row r="15" spans="1:13">
      <c r="A15" s="14">
        <v>12</v>
      </c>
      <c r="B15" s="14">
        <v>25</v>
      </c>
      <c r="C15" s="14">
        <f t="shared" si="2"/>
        <v>1</v>
      </c>
      <c r="D15" s="14">
        <v>24</v>
      </c>
      <c r="E15" s="14">
        <v>1</v>
      </c>
      <c r="F15" s="14">
        <v>111</v>
      </c>
      <c r="G15" s="14">
        <v>4</v>
      </c>
      <c r="H15" s="14">
        <v>127</v>
      </c>
      <c r="I15" s="14">
        <v>4</v>
      </c>
      <c r="J15" s="14">
        <v>48</v>
      </c>
      <c r="K15" s="14">
        <v>2</v>
      </c>
      <c r="L15" s="14">
        <f t="shared" si="0"/>
        <v>335</v>
      </c>
      <c r="M15" s="14">
        <f t="shared" si="1"/>
        <v>12</v>
      </c>
    </row>
    <row r="16" spans="1:13">
      <c r="A16" s="14">
        <v>13</v>
      </c>
      <c r="B16" s="14">
        <v>140</v>
      </c>
      <c r="C16" s="14">
        <v>6</v>
      </c>
      <c r="D16" s="14">
        <v>188</v>
      </c>
      <c r="E16" s="14">
        <v>7</v>
      </c>
      <c r="F16" s="14">
        <v>51</v>
      </c>
      <c r="G16" s="14">
        <v>2</v>
      </c>
      <c r="H16" s="14">
        <v>30</v>
      </c>
      <c r="I16" s="14">
        <f t="shared" ref="I5:I22" si="5">H16/30</f>
        <v>1</v>
      </c>
      <c r="J16" s="14">
        <v>44</v>
      </c>
      <c r="K16" s="14">
        <v>1</v>
      </c>
      <c r="L16" s="14">
        <f t="shared" si="0"/>
        <v>453</v>
      </c>
      <c r="M16" s="14">
        <f t="shared" si="1"/>
        <v>17</v>
      </c>
    </row>
    <row r="17" spans="1:13">
      <c r="A17" s="14">
        <v>14</v>
      </c>
      <c r="B17" s="14"/>
      <c r="C17" s="14">
        <f t="shared" si="2"/>
        <v>0</v>
      </c>
      <c r="D17" s="14"/>
      <c r="E17" s="14">
        <f t="shared" ref="E5:E22" si="6">D17/25</f>
        <v>0</v>
      </c>
      <c r="F17" s="14">
        <v>63</v>
      </c>
      <c r="G17" s="14">
        <v>2</v>
      </c>
      <c r="H17" s="14">
        <v>90</v>
      </c>
      <c r="I17" s="14">
        <f t="shared" si="5"/>
        <v>3</v>
      </c>
      <c r="J17" s="14">
        <v>46</v>
      </c>
      <c r="K17" s="14">
        <v>1</v>
      </c>
      <c r="L17" s="14">
        <f t="shared" si="0"/>
        <v>199</v>
      </c>
      <c r="M17" s="14">
        <f t="shared" si="1"/>
        <v>6</v>
      </c>
    </row>
    <row r="18" spans="1:13">
      <c r="A18" s="14">
        <v>15</v>
      </c>
      <c r="B18" s="14">
        <v>21</v>
      </c>
      <c r="C18" s="14">
        <v>1</v>
      </c>
      <c r="D18" s="14">
        <v>9</v>
      </c>
      <c r="E18" s="14">
        <v>1</v>
      </c>
      <c r="F18" s="14">
        <v>24</v>
      </c>
      <c r="G18" s="14">
        <v>1</v>
      </c>
      <c r="H18" s="14">
        <v>12</v>
      </c>
      <c r="I18" s="14">
        <v>1</v>
      </c>
      <c r="J18" s="14"/>
      <c r="K18" s="14">
        <f t="shared" si="4"/>
        <v>0</v>
      </c>
      <c r="L18" s="14">
        <f t="shared" si="0"/>
        <v>66</v>
      </c>
      <c r="M18" s="14">
        <f t="shared" si="1"/>
        <v>4</v>
      </c>
    </row>
    <row r="19" spans="1:13">
      <c r="A19" s="14">
        <v>16</v>
      </c>
      <c r="B19" s="14">
        <v>64</v>
      </c>
      <c r="C19" s="14">
        <v>2</v>
      </c>
      <c r="D19" s="14">
        <v>100</v>
      </c>
      <c r="E19" s="14">
        <f t="shared" si="6"/>
        <v>4</v>
      </c>
      <c r="F19" s="14">
        <v>79</v>
      </c>
      <c r="G19" s="14">
        <v>3</v>
      </c>
      <c r="H19" s="14">
        <v>33</v>
      </c>
      <c r="I19" s="14">
        <v>1</v>
      </c>
      <c r="J19" s="14"/>
      <c r="K19" s="14">
        <f t="shared" si="4"/>
        <v>0</v>
      </c>
      <c r="L19" s="14">
        <f t="shared" si="0"/>
        <v>276</v>
      </c>
      <c r="M19" s="14">
        <f t="shared" si="1"/>
        <v>10</v>
      </c>
    </row>
    <row r="20" spans="1:13">
      <c r="A20" s="14">
        <v>60</v>
      </c>
      <c r="B20" s="14">
        <v>90</v>
      </c>
      <c r="C20" s="14">
        <v>3</v>
      </c>
      <c r="D20" s="14">
        <v>138</v>
      </c>
      <c r="E20" s="14">
        <v>5</v>
      </c>
      <c r="F20" s="14">
        <v>116</v>
      </c>
      <c r="G20" s="14">
        <v>4</v>
      </c>
      <c r="H20" s="14">
        <v>86</v>
      </c>
      <c r="I20" s="14">
        <v>3</v>
      </c>
      <c r="J20" s="14">
        <v>45</v>
      </c>
      <c r="K20" s="14">
        <v>1</v>
      </c>
      <c r="L20" s="14">
        <f t="shared" si="0"/>
        <v>475</v>
      </c>
      <c r="M20" s="14">
        <f t="shared" si="1"/>
        <v>16</v>
      </c>
    </row>
    <row r="21" spans="1:13">
      <c r="A21" s="14">
        <v>70</v>
      </c>
      <c r="B21" s="14">
        <v>43</v>
      </c>
      <c r="C21" s="14">
        <v>2</v>
      </c>
      <c r="D21" s="14">
        <v>67</v>
      </c>
      <c r="E21" s="14">
        <v>3</v>
      </c>
      <c r="F21" s="14">
        <v>57</v>
      </c>
      <c r="G21" s="14">
        <v>2</v>
      </c>
      <c r="H21" s="14">
        <v>30</v>
      </c>
      <c r="I21" s="14">
        <f t="shared" si="5"/>
        <v>1</v>
      </c>
      <c r="J21" s="14"/>
      <c r="K21" s="14">
        <f t="shared" si="4"/>
        <v>0</v>
      </c>
      <c r="L21" s="14">
        <f t="shared" si="0"/>
        <v>197</v>
      </c>
      <c r="M21" s="14">
        <f t="shared" si="1"/>
        <v>8</v>
      </c>
    </row>
    <row r="22" spans="1:13">
      <c r="A22" s="14">
        <v>80</v>
      </c>
      <c r="B22" s="14">
        <v>69</v>
      </c>
      <c r="C22" s="14">
        <v>3</v>
      </c>
      <c r="D22" s="14">
        <v>62</v>
      </c>
      <c r="E22" s="14">
        <v>2</v>
      </c>
      <c r="F22" s="14">
        <v>149</v>
      </c>
      <c r="G22" s="14">
        <v>5</v>
      </c>
      <c r="H22" s="14">
        <v>136</v>
      </c>
      <c r="I22" s="14">
        <v>4</v>
      </c>
      <c r="J22" s="14">
        <v>30</v>
      </c>
      <c r="K22" s="14">
        <f t="shared" si="4"/>
        <v>1</v>
      </c>
      <c r="L22" s="14">
        <f t="shared" si="0"/>
        <v>446</v>
      </c>
      <c r="M22" s="14">
        <f t="shared" si="1"/>
        <v>15</v>
      </c>
    </row>
    <row r="23" spans="1:13" ht="14.5">
      <c r="A23" s="15" t="s">
        <v>180</v>
      </c>
      <c r="B23" s="15">
        <f>SUM(B4:B22)</f>
        <v>1989</v>
      </c>
      <c r="C23" s="15">
        <f>SUM(C4:C22)</f>
        <v>83</v>
      </c>
      <c r="D23" s="15">
        <f t="shared" ref="D23:M23" si="7">SUM(D4:D22)</f>
        <v>2623</v>
      </c>
      <c r="E23" s="15">
        <f t="shared" si="7"/>
        <v>106</v>
      </c>
      <c r="F23" s="15">
        <f t="shared" si="7"/>
        <v>3189</v>
      </c>
      <c r="G23" s="15">
        <f t="shared" si="7"/>
        <v>106</v>
      </c>
      <c r="H23" s="15">
        <f t="shared" si="7"/>
        <v>2734</v>
      </c>
      <c r="I23" s="15">
        <f t="shared" si="7"/>
        <v>89</v>
      </c>
      <c r="J23" s="15">
        <f t="shared" si="7"/>
        <v>1013</v>
      </c>
      <c r="K23" s="15">
        <f t="shared" si="7"/>
        <v>32</v>
      </c>
      <c r="L23" s="15">
        <f t="shared" si="7"/>
        <v>11548</v>
      </c>
      <c r="M23" s="15">
        <f t="shared" si="7"/>
        <v>416</v>
      </c>
    </row>
  </sheetData>
  <mergeCells count="8">
    <mergeCell ref="B2:C2"/>
    <mergeCell ref="D2:E2"/>
    <mergeCell ref="F2:G2"/>
    <mergeCell ref="H2:I2"/>
    <mergeCell ref="J2:K2"/>
    <mergeCell ref="A2:A3"/>
    <mergeCell ref="L2:M2"/>
    <mergeCell ref="A1:M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AEA98423648F4E89E1C6275B6C0F17" ma:contentTypeVersion="19" ma:contentTypeDescription="Crear nuevo documento." ma:contentTypeScope="" ma:versionID="bd1b295b11b7eaf7224ea9524a124d9b">
  <xsd:schema xmlns:xsd="http://www.w3.org/2001/XMLSchema" xmlns:xs="http://www.w3.org/2001/XMLSchema" xmlns:p="http://schemas.microsoft.com/office/2006/metadata/properties" xmlns:ns1="http://schemas.microsoft.com/sharepoint/v3" xmlns:ns3="f123a661-e421-4325-8e1f-9fd46f09fba6" xmlns:ns4="cedd9af0-b89a-4240-b79f-18d0bb3dbf2f" targetNamespace="http://schemas.microsoft.com/office/2006/metadata/properties" ma:root="true" ma:fieldsID="461d5f3a0f023917227a9b24b8b23e48" ns1:_="" ns3:_="" ns4:_="">
    <xsd:import namespace="http://schemas.microsoft.com/sharepoint/v3"/>
    <xsd:import namespace="f123a661-e421-4325-8e1f-9fd46f09fba6"/>
    <xsd:import namespace="cedd9af0-b89a-4240-b79f-18d0bb3dbf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3a661-e421-4325-8e1f-9fd46f09fb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d9af0-b89a-4240-b79f-18d0bb3dbf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cedd9af0-b89a-4240-b79f-18d0bb3dbf2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998C749-7512-46DA-BAF2-BC444E2B9AA0}">
  <ds:schemaRefs/>
</ds:datastoreItem>
</file>

<file path=customXml/itemProps2.xml><?xml version="1.0" encoding="utf-8"?>
<ds:datastoreItem xmlns:ds="http://schemas.openxmlformats.org/officeDocument/2006/customXml" ds:itemID="{84D19BB7-33F0-4B78-9C08-B59B73D3E28E}">
  <ds:schemaRefs/>
</ds:datastoreItem>
</file>

<file path=customXml/itemProps3.xml><?xml version="1.0" encoding="utf-8"?>
<ds:datastoreItem xmlns:ds="http://schemas.openxmlformats.org/officeDocument/2006/customXml" ds:itemID="{D2CC4B47-99DD-4820-BEDB-187B41323373}">
  <ds:schemaRefs>
    <ds:schemaRef ds:uri="http://purl.org/dc/terms/"/>
    <ds:schemaRef ds:uri="http://purl.org/dc/dcmitype/"/>
    <ds:schemaRef ds:uri="http://schemas.microsoft.com/office/2006/documentManagement/types"/>
    <ds:schemaRef ds:uri="f123a661-e421-4325-8e1f-9fd46f09fba6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cedd9af0-b89a-4240-b79f-18d0bb3dbf2f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Y BRUJULA</vt:lpstr>
      <vt:lpstr>PENSAR</vt:lpstr>
      <vt:lpstr>CANTIDAD DE ESTUDIANTES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Arbelaez Duque</dc:creator>
  <cp:lastModifiedBy>Sub. Planeación</cp:lastModifiedBy>
  <dcterms:created xsi:type="dcterms:W3CDTF">2026-06-05T13:15:00Z</dcterms:created>
  <dcterms:modified xsi:type="dcterms:W3CDTF">2026-10-09T16:40:15Z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0x01010099AEA98423648F4E89E1C6275B6C0F17</vt:lpwstr>
  </property>
  <property fmtid="{D5CDD505-2E9C-101B-9397-08002B2CF9AE}" pid="3" name="ICV">
    <vt:lpwstr>6EC34E1DFD224C1C91698760F77099CD_13</vt:lpwstr>
  </property>
  <property fmtid="{D5CDD505-2E9C-101B-9397-08002B2CF9AE}" pid="4" name="KSOProductBuildVer">
    <vt:lpwstr>3082-12.1.0.26880</vt:lpwstr>
  </property>
  <property fmtid="{D5CDD505-2E9C-101B-9397-08002B2CF9AE}" pid="5" name="CalculationRule">
    <vt:i4>0</vt:i4>
  </property>
</Properties>
</file>